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ERAL" sheetId="1" state="visible" r:id="rId1"/>
    <sheet name="CIDAN – CONSOLIDADO" sheetId="2" state="visible" r:id="rId2"/>
    <sheet name="ALVLT – CONSOLIDADO" sheetId="3" state="visible" r:id="rId3"/>
  </sheets>
  <definedNames>
    <definedName name="_xlnm._FilterDatabase" localSheetId="1" hidden="1">'CIDAN – CONSOLIDADO'!$A$8:$Z$254</definedName>
    <definedName name="_xlnm._FilterDatabase" localSheetId="2" hidden="1">'ALVLT – CONSOLIDADO'!$A$8:$Z$212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1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92D050"/>
      </patternFill>
    </fill>
    <fill>
      <patternFill patternType="solid">
        <fgColor rgb="00F8696B"/>
      </patternFill>
    </fill>
    <fill>
      <patternFill patternType="solid">
        <fgColor rgb="0000B0F0"/>
      </patternFill>
    </fill>
    <fill>
      <patternFill patternType="solid">
        <fgColor rgb="00FFFF00"/>
      </patternFill>
    </fill>
    <fill>
      <patternFill patternType="solid">
        <fgColor rgb="00F8FBFF"/>
      </patternFill>
    </fill>
    <fill>
      <patternFill patternType="solid">
        <fgColor rgb="00E5E7EB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5">
    <border>
      <left/>
      <right/>
      <top/>
      <bottom/>
      <diagonal/>
    </border>
    <border>
      <left style="medium">
        <color rgb="00000000"/>
      </left>
      <right style="thin">
        <color rgb="00FFFFFF"/>
      </right>
      <top style="medium">
        <color rgb="00000000"/>
      </top>
      <bottom style="thin">
        <color rgb="00FFFFFF"/>
      </bottom>
    </border>
    <border>
      <left style="thin">
        <color rgb="00FFFFFF"/>
      </left>
      <right style="medium">
        <color rgb="00000000"/>
      </right>
      <top style="medium">
        <color rgb="00000000"/>
      </top>
      <bottom style="thin">
        <color rgb="00FFFFFF"/>
      </bottom>
    </border>
    <border>
      <left style="medium">
        <color rgb="00000000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medium">
        <color rgb="00000000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medium">
        <color rgb="00000000"/>
      </top>
      <bottom style="thin">
        <color rgb="00FFFFFF"/>
      </bottom>
    </border>
    <border>
      <left/>
      <right/>
      <top style="medium">
        <color rgb="00000000"/>
      </top>
      <bottom style="thin">
        <color rgb="00FFFFFF"/>
      </bottom>
      <diagonal/>
    </border>
    <border>
      <left/>
      <right style="thin">
        <color rgb="00FFFFFF"/>
      </right>
      <top style="medium">
        <color rgb="00000000"/>
      </top>
      <bottom style="thin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000000"/>
      </bottom>
    </border>
    <border>
      <left style="thin">
        <color rgb="00FFFFFF"/>
      </left>
      <right style="medium">
        <color rgb="00000000"/>
      </right>
      <top style="thin">
        <color rgb="00FFFFFF"/>
      </top>
      <bottom style="medium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000000"/>
      </right>
      <top style="thin">
        <color rgb="00BFBFBF"/>
      </top>
      <bottom style="thin">
        <color rgb="00BFBFBF"/>
      </bottom>
    </border>
    <border>
      <left/>
      <right/>
      <top style="medium">
        <color rgb="00000000"/>
      </top>
      <bottom/>
      <diagonal/>
    </border>
    <border>
      <left/>
      <right style="thin">
        <color rgb="00FFFFFF"/>
      </right>
      <top style="medium">
        <color rgb="00000000"/>
      </top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0" fontId="1" fillId="3" borderId="3" applyAlignment="1" pivotButton="0" quotePrefix="0" xfId="0">
      <alignment horizontal="left" vertical="center"/>
    </xf>
    <xf numFmtId="10" fontId="2" fillId="3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" fillId="4" borderId="5" applyAlignment="1" pivotButton="0" quotePrefix="0" xfId="0">
      <alignment horizontal="center" vertical="center"/>
    </xf>
    <xf numFmtId="0" fontId="1" fillId="5" borderId="5" applyAlignment="1" pivotButton="0" quotePrefix="0" xfId="0">
      <alignment horizontal="center" vertical="center"/>
    </xf>
    <xf numFmtId="0" fontId="1" fillId="6" borderId="5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1" fontId="0" fillId="0" borderId="11" applyAlignment="1" pivotButton="0" quotePrefix="0" xfId="0">
      <alignment horizontal="center" vertical="center"/>
    </xf>
    <xf numFmtId="1" fontId="0" fillId="0" borderId="10" applyAlignment="1" pivotButton="0" quotePrefix="0" xfId="0">
      <alignment horizontal="center" vertical="center"/>
    </xf>
    <xf numFmtId="164" fontId="0" fillId="0" borderId="11" applyAlignment="1" pivotButton="0" quotePrefix="0" xfId="0">
      <alignment horizontal="center" vertical="center"/>
    </xf>
    <xf numFmtId="164" fontId="0" fillId="0" borderId="10" applyAlignment="1" pivotButton="0" quotePrefix="0" xfId="0">
      <alignment horizontal="center" vertical="center"/>
    </xf>
    <xf numFmtId="10" fontId="0" fillId="0" borderId="10" applyAlignment="1" pivotButton="0" quotePrefix="0" xfId="0">
      <alignment horizontal="center" vertical="center"/>
    </xf>
    <xf numFmtId="10" fontId="0" fillId="0" borderId="1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8" borderId="10" applyAlignment="1" pivotButton="0" quotePrefix="0" xfId="0">
      <alignment horizontal="center" vertical="center"/>
    </xf>
    <xf numFmtId="1" fontId="0" fillId="8" borderId="11" applyAlignment="1" pivotButton="0" quotePrefix="0" xfId="0">
      <alignment horizontal="center" vertical="center"/>
    </xf>
    <xf numFmtId="1" fontId="0" fillId="8" borderId="10" applyAlignment="1" pivotButton="0" quotePrefix="0" xfId="0">
      <alignment horizontal="center" vertical="center"/>
    </xf>
    <xf numFmtId="164" fontId="0" fillId="8" borderId="11" applyAlignment="1" pivotButton="0" quotePrefix="0" xfId="0">
      <alignment horizontal="center" vertical="center"/>
    </xf>
    <xf numFmtId="164" fontId="0" fillId="8" borderId="10" applyAlignment="1" pivotButton="0" quotePrefix="0" xfId="0">
      <alignment horizontal="center" vertical="center"/>
    </xf>
    <xf numFmtId="10" fontId="0" fillId="8" borderId="10" applyAlignment="1" pivotButton="0" quotePrefix="0" xfId="0">
      <alignment horizontal="center" vertical="center"/>
    </xf>
    <xf numFmtId="10" fontId="0" fillId="8" borderId="11" applyAlignment="1" pivotButton="0" quotePrefix="0" xfId="0">
      <alignment horizontal="center" vertical="center"/>
    </xf>
    <xf numFmtId="0" fontId="0" fillId="8" borderId="11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  <xf numFmtId="1" fontId="2" fillId="0" borderId="14" applyAlignment="1" pivotButton="0" quotePrefix="0" xfId="0">
      <alignment horizontal="center" vertical="center"/>
    </xf>
    <xf numFmtId="10" fontId="2" fillId="0" borderId="4" applyAlignment="1" pivotButton="0" quotePrefix="0" xfId="0">
      <alignment horizontal="center" vertical="center"/>
    </xf>
    <xf numFmtId="0" fontId="2" fillId="10" borderId="10" applyAlignment="1" pivotButton="0" quotePrefix="0" xfId="0">
      <alignment horizontal="center" vertical="center"/>
    </xf>
    <xf numFmtId="1" fontId="2" fillId="5" borderId="10" applyAlignment="1" pivotButton="0" quotePrefix="0" xfId="0">
      <alignment horizontal="center" vertical="center"/>
    </xf>
    <xf numFmtId="1" fontId="0" fillId="11" borderId="11" applyAlignment="1" pivotButton="0" quotePrefix="0" xfId="0">
      <alignment horizontal="center" vertical="center"/>
    </xf>
    <xf numFmtId="1" fontId="2" fillId="7" borderId="10" applyAlignment="1" pivotButton="0" quotePrefix="0" xfId="0">
      <alignment horizontal="center" vertical="center"/>
    </xf>
    <xf numFmtId="1" fontId="2" fillId="12" borderId="10" applyAlignment="1" pivotButton="0" quotePrefix="0" xfId="0">
      <alignment horizontal="center" vertical="center"/>
    </xf>
    <xf numFmtId="0" fontId="2" fillId="13" borderId="10" applyAlignment="1" pivotButton="0" quotePrefix="0" xfId="0">
      <alignment horizontal="center" vertical="center"/>
    </xf>
    <xf numFmtId="1" fontId="2" fillId="14" borderId="10" applyAlignment="1" pivotButton="0" quotePrefix="0" xfId="0">
      <alignment horizontal="center" vertical="center"/>
    </xf>
    <xf numFmtId="0" fontId="0" fillId="11" borderId="10" applyAlignment="1" pivotButton="0" quotePrefix="0" xfId="0">
      <alignment horizontal="center" vertical="center"/>
    </xf>
    <xf numFmtId="0" fontId="0" fillId="11" borderId="11" applyAlignment="1" pivotButton="0" quotePrefix="0" xfId="0">
      <alignment horizontal="center" vertical="center"/>
    </xf>
    <xf numFmtId="0" fontId="2" fillId="11" borderId="10" applyAlignment="1" pivotButton="0" quotePrefix="0" xfId="0">
      <alignment horizontal="center" vertical="center"/>
    </xf>
    <xf numFmtId="164" fontId="0" fillId="11" borderId="10" applyAlignment="1" pivotButton="0" quotePrefix="0" xfId="0">
      <alignment horizontal="center" vertical="center"/>
    </xf>
    <xf numFmtId="1" fontId="0" fillId="11" borderId="10" applyAlignment="1" pivotButton="0" quotePrefix="0" xfId="0">
      <alignment horizontal="center" vertical="center"/>
    </xf>
    <xf numFmtId="164" fontId="0" fillId="11" borderId="11" applyAlignment="1" pivotButton="0" quotePrefix="0" xfId="0">
      <alignment horizontal="center" vertical="center"/>
    </xf>
    <xf numFmtId="10" fontId="0" fillId="11" borderId="10" applyAlignment="1" pivotButton="0" quotePrefix="0" xfId="0">
      <alignment horizontal="center" vertical="center"/>
    </xf>
    <xf numFmtId="0" fontId="2" fillId="14" borderId="1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6" customWidth="1" min="4" max="4"/>
    <col width="16" customWidth="1" min="5" max="5"/>
    <col width="22" customWidth="1" min="6" max="6"/>
    <col width="22" customWidth="1" min="7" max="7"/>
    <col width="18" customWidth="1" min="8" max="8"/>
    <col width="18" customWidth="1" min="9" max="9"/>
    <col width="18" customWidth="1" min="10" max="10"/>
    <col width="12" customWidth="1" min="11" max="11"/>
    <col width="16" customWidth="1" min="12" max="12"/>
    <col width="14" customWidth="1" min="13" max="13"/>
    <col width="16" customWidth="1" min="14" max="14"/>
  </cols>
  <sheetData>
    <row r="1" ht="24" customHeight="1">
      <c r="A1" s="1" t="inlineStr">
        <is>
          <t>RESUMO GERAL</t>
        </is>
      </c>
      <c r="B1" s="2" t="inlineStr">
        <is>
          <t>LOTE — TODOS OS EMPREENDIMENTOS</t>
        </is>
      </c>
    </row>
    <row r="2">
      <c r="A2" s="3" t="inlineStr">
        <is>
          <t>DATA-BASE</t>
        </is>
      </c>
      <c r="B2" s="4" t="inlineStr">
        <is>
          <t>06/04/2026</t>
        </is>
      </c>
    </row>
    <row r="3">
      <c r="A3" s="3" t="inlineStr">
        <is>
          <t>QTD. VENDAS (TOTAL VISÍVEL)</t>
        </is>
      </c>
      <c r="B3" s="4">
        <f>SUBTOTAL(109,C9:C1048576)</f>
        <v/>
      </c>
    </row>
    <row r="4">
      <c r="A4" s="3" t="inlineStr">
        <is>
          <t>VL.CARTEIRA (POSIÇÃO TOTAL)</t>
        </is>
      </c>
      <c r="B4" s="5">
        <f>SUBTOTAL(109,J9:J1048576)</f>
        <v/>
      </c>
    </row>
    <row r="5">
      <c r="A5" s="3" t="inlineStr">
        <is>
          <t>VL.TOTAL INADIMPLÊNCIA</t>
        </is>
      </c>
      <c r="B5" s="5">
        <f>SUBTOTAL(109,G9:G1048576)</f>
        <v/>
      </c>
    </row>
    <row r="6">
      <c r="A6" s="6" t="inlineStr">
        <is>
          <t>% INADIMPLÊNCIA / CARTEIRA TOTAL</t>
        </is>
      </c>
      <c r="B6" s="7">
        <f>IFERROR(B5/B4,0)</f>
        <v/>
      </c>
    </row>
    <row r="7" ht="22" customHeight="1">
      <c r="A7" s="8" t="inlineStr">
        <is>
          <t>DADOS</t>
        </is>
      </c>
      <c r="B7" s="9" t="n"/>
      <c r="C7" s="10" t="n"/>
      <c r="D7" s="11" t="inlineStr">
        <is>
          <t>PAGO</t>
        </is>
      </c>
      <c r="E7" s="10" t="n"/>
      <c r="F7" s="12" t="inlineStr">
        <is>
          <t>INADIMPLÊNCIA</t>
        </is>
      </c>
      <c r="G7" s="10" t="n"/>
      <c r="H7" s="13" t="inlineStr">
        <is>
          <t>A VENCER</t>
        </is>
      </c>
      <c r="I7" s="10" t="n"/>
      <c r="J7" s="14" t="inlineStr">
        <is>
          <t>INDICADORES</t>
        </is>
      </c>
      <c r="K7" s="9" t="n"/>
      <c r="L7" s="9" t="n"/>
      <c r="M7" s="10" t="n"/>
      <c r="N7" s="15" t="inlineStr">
        <is>
          <t>STATUS GERAL</t>
        </is>
      </c>
    </row>
    <row r="8" ht="24" customHeight="1">
      <c r="A8" s="16" t="inlineStr">
        <is>
          <t>Emp/Obra</t>
        </is>
      </c>
      <c r="B8" s="16" t="inlineStr">
        <is>
          <t>Empreendimento</t>
        </is>
      </c>
      <c r="C8" s="17" t="inlineStr">
        <is>
          <t>QTD VENDAS</t>
        </is>
      </c>
      <c r="D8" s="16" t="inlineStr">
        <is>
          <t>QTD PARC. PAGA</t>
        </is>
      </c>
      <c r="E8" s="17" t="inlineStr">
        <is>
          <t>VALOR PAGO</t>
        </is>
      </c>
      <c r="F8" s="16" t="inlineStr">
        <is>
          <t>QTD PARC. INADIMPLÊNCIA</t>
        </is>
      </c>
      <c r="G8" s="17" t="inlineStr">
        <is>
          <t>VALOR INADIMPLÊNCIA</t>
        </is>
      </c>
      <c r="H8" s="16" t="inlineStr">
        <is>
          <t>QTD PARC. A VENCER</t>
        </is>
      </c>
      <c r="I8" s="17" t="inlineStr">
        <is>
          <t>VALOR A VENCER</t>
        </is>
      </c>
      <c r="J8" s="16" t="inlineStr">
        <is>
          <t>VL.CARTEIRA</t>
        </is>
      </c>
      <c r="K8" s="16" t="inlineStr">
        <is>
          <t>% PAGO</t>
        </is>
      </c>
      <c r="L8" s="16" t="inlineStr">
        <is>
          <t>% INADIMPLÊNCIA</t>
        </is>
      </c>
      <c r="M8" s="17" t="inlineStr">
        <is>
          <t>% A VENCER</t>
        </is>
      </c>
      <c r="N8" s="17" t="inlineStr">
        <is>
          <t>STATUS GERAL</t>
        </is>
      </c>
    </row>
    <row r="9">
      <c r="A9" s="18" t="inlineStr">
        <is>
          <t>16/CIDAN</t>
        </is>
      </c>
      <c r="B9" s="18" t="inlineStr">
        <is>
          <t>SPE - CIDADE NOVA LTDA</t>
        </is>
      </c>
      <c r="C9" s="19" t="n">
        <v>246</v>
      </c>
      <c r="D9" s="20" t="n">
        <v>4178</v>
      </c>
      <c r="E9" s="21" t="n">
        <v>3921827.92</v>
      </c>
      <c r="F9" s="20" t="n">
        <v>3781</v>
      </c>
      <c r="G9" s="21" t="n">
        <v>4574712.5</v>
      </c>
      <c r="H9" s="20" t="n">
        <v>1969</v>
      </c>
      <c r="I9" s="21" t="n">
        <v>1044707.43</v>
      </c>
      <c r="J9" s="22" t="n">
        <v>9541247.85</v>
      </c>
      <c r="K9" s="23" t="n">
        <v>0.411039</v>
      </c>
      <c r="L9" s="23" t="n">
        <v>0.479467</v>
      </c>
      <c r="M9" s="24" t="n">
        <v>0.109494</v>
      </c>
      <c r="N9" s="25" t="inlineStr">
        <is>
          <t>ALTO</t>
        </is>
      </c>
    </row>
    <row r="10">
      <c r="A10" s="26" t="inlineStr">
        <is>
          <t>71/ALVLT</t>
        </is>
      </c>
      <c r="B10" s="26" t="inlineStr">
        <is>
          <t>SPE RESIDENCIAL OURILANDIA LTDA</t>
        </is>
      </c>
      <c r="C10" s="27" t="n">
        <v>204</v>
      </c>
      <c r="D10" s="28" t="n">
        <v>5892</v>
      </c>
      <c r="E10" s="29" t="n">
        <v>4696880.73</v>
      </c>
      <c r="F10" s="28" t="n">
        <v>720</v>
      </c>
      <c r="G10" s="29" t="n">
        <v>460307.49</v>
      </c>
      <c r="H10" s="28" t="n">
        <v>4641</v>
      </c>
      <c r="I10" s="29" t="n">
        <v>2055867.4</v>
      </c>
      <c r="J10" s="30" t="n">
        <v>7213055.62</v>
      </c>
      <c r="K10" s="31" t="n">
        <v>0.651164</v>
      </c>
      <c r="L10" s="31" t="n">
        <v>0.063816</v>
      </c>
      <c r="M10" s="32" t="n">
        <v>0.28502</v>
      </c>
      <c r="N10" s="33" t="inlineStr">
        <is>
          <t>MÉDIO</t>
        </is>
      </c>
    </row>
  </sheetData>
  <mergeCells count="6">
    <mergeCell ref="D7:E7"/>
    <mergeCell ref="H7:I7"/>
    <mergeCell ref="N7"/>
    <mergeCell ref="A7:C7"/>
    <mergeCell ref="J7:M7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5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36" customWidth="1" min="4" max="4"/>
    <col width="30" customWidth="1" min="5" max="5"/>
    <col width="18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8" customWidth="1" min="12" max="12"/>
    <col width="14" customWidth="1" min="13" max="13"/>
    <col width="14" customWidth="1" min="14" max="14"/>
    <col width="14" customWidth="1" min="15" max="15"/>
    <col width="18" customWidth="1" min="16" max="16"/>
    <col width="20" customWidth="1" min="17" max="17"/>
    <col width="14" customWidth="1" min="18" max="18"/>
    <col width="14" customWidth="1" min="19" max="19"/>
    <col width="16" customWidth="1" min="20" max="20"/>
    <col width="12" customWidth="1" min="21" max="21"/>
    <col width="14" customWidth="1" min="22" max="22"/>
    <col width="12" customWidth="1" min="23" max="23"/>
    <col width="18" customWidth="1" min="24" max="24"/>
    <col width="20" customWidth="1" min="25" max="25"/>
    <col width="12" customWidth="1" min="26" max="26"/>
  </cols>
  <sheetData>
    <row r="1">
      <c r="A1" s="1" t="inlineStr">
        <is>
          <t>EMPREENDIMENTO</t>
        </is>
      </c>
      <c r="B1" s="2" t="inlineStr">
        <is>
          <t>SPE - CIDADE NOVA LTDA</t>
        </is>
      </c>
      <c r="C1" s="34" t="n"/>
      <c r="D1" s="1" t="inlineStr">
        <is>
          <t>PAINEL ESTOQUE</t>
        </is>
      </c>
      <c r="E1" s="2" t="n"/>
      <c r="F1" s="1" t="inlineStr">
        <is>
          <t>LINK DRIVE</t>
        </is>
      </c>
      <c r="G1" s="35" t="inlineStr">
        <is>
          <t>LINK NÃO CADASTRADO</t>
        </is>
      </c>
    </row>
    <row r="2">
      <c r="A2" s="3" t="inlineStr">
        <is>
          <t>DATA-BASE</t>
        </is>
      </c>
      <c r="B2" s="4" t="inlineStr">
        <is>
          <t>06/04/2026</t>
        </is>
      </c>
      <c r="C2" s="36" t="n"/>
      <c r="D2" s="3" t="inlineStr">
        <is>
          <t>QTD.UNID.TOTAL</t>
        </is>
      </c>
      <c r="E2" s="4" t="n"/>
    </row>
    <row r="3">
      <c r="A3" s="3" t="inlineStr">
        <is>
          <t>QTD. VENDAS</t>
        </is>
      </c>
      <c r="B3" s="4">
        <f>SUBTOTAL(103,C9:C1048576)</f>
        <v/>
      </c>
      <c r="C3" s="36" t="n"/>
      <c r="D3" s="3" t="inlineStr">
        <is>
          <t>QTD.UNID.INADIMPLENTES</t>
        </is>
      </c>
      <c r="E3" s="37" t="n"/>
    </row>
    <row r="4">
      <c r="A4" s="3" t="inlineStr">
        <is>
          <t>VL.CARTEIRA (POSIÇÃO TOTAL)</t>
        </is>
      </c>
      <c r="B4" s="5">
        <f>SUBTOTAL(109,T9:T1048576)</f>
        <v/>
      </c>
      <c r="C4" s="36" t="n"/>
      <c r="D4" s="3" t="inlineStr">
        <is>
          <t>QTD.UNID.QUITADAS</t>
        </is>
      </c>
      <c r="E4" s="37" t="n"/>
    </row>
    <row r="5">
      <c r="A5" s="3" t="inlineStr">
        <is>
          <t>VL.TOTAL INADIMPLÊNCIA</t>
        </is>
      </c>
      <c r="B5" s="5">
        <f>SUBTOTAL(109,Q9:Q1048576)</f>
        <v/>
      </c>
      <c r="C5" s="36" t="n"/>
      <c r="D5" s="3" t="inlineStr">
        <is>
          <t>QTD.UNID.VENDIDAS</t>
        </is>
      </c>
      <c r="E5" s="37" t="n"/>
    </row>
    <row r="6">
      <c r="A6" s="3" t="inlineStr">
        <is>
          <t>% INADIMPLÊNCIA / CARTEIRA TOTAL</t>
        </is>
      </c>
      <c r="B6" s="37">
        <f>IFERROR(B5/B4,0)</f>
        <v/>
      </c>
      <c r="C6" s="36" t="n"/>
      <c r="D6" s="3" t="inlineStr">
        <is>
          <t>QTD.UNID.DISPONIVEL</t>
        </is>
      </c>
      <c r="E6" s="37" t="n"/>
    </row>
    <row r="7">
      <c r="A7" s="8" t="inlineStr">
        <is>
          <t>DADOS CADASTRO</t>
        </is>
      </c>
      <c r="B7" s="9" t="n"/>
      <c r="C7" s="9" t="n"/>
      <c r="D7" s="9" t="n"/>
      <c r="E7" s="10" t="n"/>
      <c r="F7" s="11" t="inlineStr">
        <is>
          <t>PAGO</t>
        </is>
      </c>
      <c r="G7" s="9" t="n"/>
      <c r="H7" s="9" t="n"/>
      <c r="I7" s="9" t="n"/>
      <c r="J7" s="10" t="n"/>
      <c r="K7" s="12" t="inlineStr">
        <is>
          <t>INADIMPLÊNCIA</t>
        </is>
      </c>
      <c r="L7" s="9" t="n"/>
      <c r="M7" s="9" t="n"/>
      <c r="N7" s="9" t="n"/>
      <c r="O7" s="9" t="n"/>
      <c r="P7" s="9" t="n"/>
      <c r="Q7" s="10" t="n"/>
      <c r="R7" s="13" t="inlineStr">
        <is>
          <t>A VENCER</t>
        </is>
      </c>
      <c r="S7" s="10" t="n"/>
      <c r="T7" s="14" t="inlineStr">
        <is>
          <t>INDICADORES</t>
        </is>
      </c>
      <c r="U7" s="9" t="n"/>
      <c r="V7" s="9" t="n"/>
      <c r="W7" s="9" t="n"/>
      <c r="X7" s="10" t="n"/>
    </row>
    <row r="8">
      <c r="A8" s="16" t="inlineStr">
        <is>
          <t>EMP/OBRA</t>
        </is>
      </c>
      <c r="B8" s="16" t="inlineStr">
        <is>
          <t>EMPREENDIMENTO</t>
        </is>
      </c>
      <c r="C8" s="16" t="inlineStr">
        <is>
          <t>VENDA</t>
        </is>
      </c>
      <c r="D8" s="16" t="inlineStr">
        <is>
          <t>CLIENTE</t>
        </is>
      </c>
      <c r="E8" s="17" t="inlineStr">
        <is>
          <t>IDENTIFICADOR</t>
        </is>
      </c>
      <c r="F8" s="16" t="inlineStr">
        <is>
          <t>STATUS VENDA</t>
        </is>
      </c>
      <c r="G8" s="16" t="inlineStr">
        <is>
          <t>VALOR DA PARCELA</t>
        </is>
      </c>
      <c r="H8" s="16" t="inlineStr">
        <is>
          <t>QTD.PARC.TOTAL</t>
        </is>
      </c>
      <c r="I8" s="16" t="inlineStr">
        <is>
          <t>QTD.PARC.PAGA</t>
        </is>
      </c>
      <c r="J8" s="17" t="inlineStr">
        <is>
          <t>VL.PAGO</t>
        </is>
      </c>
      <c r="K8" s="16" t="inlineStr">
        <is>
          <t>QTD.PARC.ATRASADA</t>
        </is>
      </c>
      <c r="L8" s="16" t="inlineStr">
        <is>
          <t>VL.PRINCIPAL ATRASADO</t>
        </is>
      </c>
      <c r="M8" s="16" t="inlineStr">
        <is>
          <t>VL.CORREÇÃO</t>
        </is>
      </c>
      <c r="N8" s="16" t="inlineStr">
        <is>
          <t>VL.JUROS</t>
        </is>
      </c>
      <c r="O8" s="16" t="inlineStr">
        <is>
          <t>VL.MULTAS</t>
        </is>
      </c>
      <c r="P8" s="16" t="inlineStr">
        <is>
          <t>VL.CORREÇÃO ATRASO</t>
        </is>
      </c>
      <c r="Q8" s="17" t="inlineStr">
        <is>
          <t>VL.PRINCIPAL (ENCARGOS)</t>
        </is>
      </c>
      <c r="R8" s="16" t="inlineStr">
        <is>
          <t>QTD.PARC.A VENCER</t>
        </is>
      </c>
      <c r="S8" s="17" t="inlineStr">
        <is>
          <t>VL.VENCER</t>
        </is>
      </c>
      <c r="T8" s="16" t="inlineStr">
        <is>
          <t>VL.CARTEIRA</t>
        </is>
      </c>
      <c r="U8" s="16" t="inlineStr">
        <is>
          <t>% PAGO</t>
        </is>
      </c>
      <c r="V8" s="16" t="inlineStr">
        <is>
          <t>% INADIMPLÊNCIA</t>
        </is>
      </c>
      <c r="W8" s="16" t="inlineStr">
        <is>
          <t>% A VENCER</t>
        </is>
      </c>
      <c r="X8" s="17" t="inlineStr">
        <is>
          <t>DIA VENCIMENTO</t>
        </is>
      </c>
      <c r="Y8" s="16" t="inlineStr">
        <is>
          <t>STATUS CONSTRUÇÃO</t>
        </is>
      </c>
      <c r="Z8" s="16" t="inlineStr">
        <is>
          <t>APORTE</t>
        </is>
      </c>
    </row>
    <row r="9">
      <c r="A9" s="18" t="inlineStr">
        <is>
          <t>16/CIDAN</t>
        </is>
      </c>
      <c r="B9" s="18" t="inlineStr">
        <is>
          <t>SPE - CIDADE NOVA LTDA</t>
        </is>
      </c>
      <c r="C9" s="18" t="inlineStr">
        <is>
          <t>122</t>
        </is>
      </c>
      <c r="D9" s="18" t="inlineStr">
        <is>
          <t>DIONES MONTEIRO OLIVEIRA</t>
        </is>
      </c>
      <c r="E9" s="25" t="inlineStr">
        <is>
          <t>QUADRA 11/LOTE 11 PARCELA 100/178</t>
        </is>
      </c>
      <c r="F9" s="38" t="inlineStr">
        <is>
          <t>INADIMPLENTE</t>
        </is>
      </c>
      <c r="G9" s="22" t="n">
        <v>173.61</v>
      </c>
      <c r="H9" s="20" t="n">
        <v>178</v>
      </c>
      <c r="I9" s="20" t="n">
        <v>0</v>
      </c>
      <c r="J9" s="21" t="n">
        <v>0</v>
      </c>
      <c r="K9" s="39" t="n">
        <v>165</v>
      </c>
      <c r="L9" s="22" t="n">
        <v>28645.65</v>
      </c>
      <c r="M9" s="22" t="n">
        <v>29176.92</v>
      </c>
      <c r="N9" s="22" t="n">
        <v>77821.19</v>
      </c>
      <c r="O9" s="22" t="n">
        <v>1874.14</v>
      </c>
      <c r="P9" s="22" t="n">
        <v>35885.12</v>
      </c>
      <c r="Q9" s="21" t="n">
        <v>173403.02</v>
      </c>
      <c r="R9" s="20" t="n">
        <v>13</v>
      </c>
      <c r="S9" s="21" t="n">
        <v>7715.889999999999</v>
      </c>
      <c r="T9" s="22" t="n">
        <v>181118.91</v>
      </c>
      <c r="U9" s="23" t="n">
        <v>0</v>
      </c>
      <c r="V9" s="23" t="n">
        <v>0.957399</v>
      </c>
      <c r="W9" s="23" t="n">
        <v>0.042601</v>
      </c>
      <c r="X9" s="40" t="n">
        <v>30</v>
      </c>
      <c r="Y9" s="18" t="n"/>
      <c r="Z9" s="18" t="inlineStr">
        <is>
          <t>NÃO</t>
        </is>
      </c>
    </row>
    <row r="10">
      <c r="A10" s="18" t="inlineStr">
        <is>
          <t>16/CIDAN</t>
        </is>
      </c>
      <c r="B10" s="18" t="inlineStr">
        <is>
          <t>SPE - CIDADE NOVA LTDA</t>
        </is>
      </c>
      <c r="C10" s="18" t="inlineStr">
        <is>
          <t>208</t>
        </is>
      </c>
      <c r="D10" s="18" t="inlineStr">
        <is>
          <t>COOPERATIVA DE TRANSPORTE DE PASSAG., FRET. E TURISMO DE MARABA, ITUPIRANGA E NOVO REPARTIMENTO</t>
        </is>
      </c>
      <c r="E10" s="25" t="inlineStr">
        <is>
          <t>QUADRA 04/LOTE 15 PARCELA 100/178</t>
        </is>
      </c>
      <c r="F10" s="38" t="inlineStr">
        <is>
          <t>INADIMPLENTE</t>
        </is>
      </c>
      <c r="G10" s="22" t="n">
        <v>298.61</v>
      </c>
      <c r="H10" s="20" t="n">
        <v>178</v>
      </c>
      <c r="I10" s="20" t="n">
        <v>0</v>
      </c>
      <c r="J10" s="21" t="n">
        <v>0</v>
      </c>
      <c r="K10" s="39" t="n">
        <v>165</v>
      </c>
      <c r="L10" s="22" t="n">
        <v>49270.65</v>
      </c>
      <c r="M10" s="22" t="n">
        <v>44268.66</v>
      </c>
      <c r="N10" s="22" t="n">
        <v>127367.94</v>
      </c>
      <c r="O10" s="22" t="n">
        <v>3042.93</v>
      </c>
      <c r="P10" s="22" t="n">
        <v>58607.94</v>
      </c>
      <c r="Q10" s="21" t="n">
        <v>282558.12</v>
      </c>
      <c r="R10" s="20" t="n">
        <v>13</v>
      </c>
      <c r="S10" s="21" t="n">
        <v>12451.27</v>
      </c>
      <c r="T10" s="22" t="n">
        <v>295009.39</v>
      </c>
      <c r="U10" s="23" t="n">
        <v>0</v>
      </c>
      <c r="V10" s="23" t="n">
        <v>0.957794</v>
      </c>
      <c r="W10" s="23" t="n">
        <v>0.042206</v>
      </c>
      <c r="X10" s="40" t="n">
        <v>18</v>
      </c>
      <c r="Y10" s="18" t="n"/>
      <c r="Z10" s="18" t="inlineStr">
        <is>
          <t>NÃO</t>
        </is>
      </c>
    </row>
    <row r="11">
      <c r="A11" s="18" t="inlineStr">
        <is>
          <t>16/CIDAN</t>
        </is>
      </c>
      <c r="B11" s="18" t="inlineStr">
        <is>
          <t>SPE - CIDADE NOVA LTDA</t>
        </is>
      </c>
      <c r="C11" s="18" t="inlineStr">
        <is>
          <t>252</t>
        </is>
      </c>
      <c r="D11" s="18" t="inlineStr">
        <is>
          <t>EDSON DA SILVA COSTA</t>
        </is>
      </c>
      <c r="E11" s="25" t="inlineStr">
        <is>
          <t>QUADRA 21/LOTE 27 PARCELA 100/178</t>
        </is>
      </c>
      <c r="F11" s="38" t="inlineStr">
        <is>
          <t>INADIMPLENTE</t>
        </is>
      </c>
      <c r="G11" s="22" t="n">
        <v>138.89</v>
      </c>
      <c r="H11" s="20" t="n">
        <v>178</v>
      </c>
      <c r="I11" s="20" t="n">
        <v>0</v>
      </c>
      <c r="J11" s="21" t="n">
        <v>0</v>
      </c>
      <c r="K11" s="39" t="n">
        <v>164</v>
      </c>
      <c r="L11" s="22" t="n">
        <v>22777.96</v>
      </c>
      <c r="M11" s="22" t="n">
        <v>23342.1</v>
      </c>
      <c r="N11" s="22" t="n">
        <v>62287.51</v>
      </c>
      <c r="O11" s="22" t="n">
        <v>1496.92</v>
      </c>
      <c r="P11" s="22" t="n">
        <v>28730.48</v>
      </c>
      <c r="Q11" s="21" t="n">
        <v>138634.97</v>
      </c>
      <c r="R11" s="20" t="n">
        <v>14</v>
      </c>
      <c r="S11" s="21" t="n">
        <v>6647.62</v>
      </c>
      <c r="T11" s="22" t="n">
        <v>145282.59</v>
      </c>
      <c r="U11" s="23" t="n">
        <v>0</v>
      </c>
      <c r="V11" s="23" t="n">
        <v>0.954244</v>
      </c>
      <c r="W11" s="23" t="n">
        <v>0.045756</v>
      </c>
      <c r="X11" s="40" t="n">
        <v>10</v>
      </c>
      <c r="Y11" s="18" t="n"/>
      <c r="Z11" s="18" t="inlineStr">
        <is>
          <t>NÃO</t>
        </is>
      </c>
    </row>
    <row r="12">
      <c r="A12" s="18" t="inlineStr">
        <is>
          <t>16/CIDAN</t>
        </is>
      </c>
      <c r="B12" s="18" t="inlineStr">
        <is>
          <t>SPE - CIDADE NOVA LTDA</t>
        </is>
      </c>
      <c r="C12" s="18" t="inlineStr">
        <is>
          <t>41</t>
        </is>
      </c>
      <c r="D12" s="18" t="inlineStr">
        <is>
          <t>WALDIZA RIBEIRO ARAUJO</t>
        </is>
      </c>
      <c r="E12" s="25" t="inlineStr">
        <is>
          <t>QUADRA 01/LOTE 10</t>
        </is>
      </c>
      <c r="F12" s="38" t="inlineStr">
        <is>
          <t>INADIMPLENTE</t>
        </is>
      </c>
      <c r="G12" s="22" t="n">
        <v>298.61</v>
      </c>
      <c r="H12" s="20" t="n">
        <v>178</v>
      </c>
      <c r="I12" s="20" t="n">
        <v>3</v>
      </c>
      <c r="J12" s="21" t="n">
        <v>950.84</v>
      </c>
      <c r="K12" s="39" t="n">
        <v>161</v>
      </c>
      <c r="L12" s="22" t="n">
        <v>48076.21</v>
      </c>
      <c r="M12" s="22" t="n">
        <v>50184.63</v>
      </c>
      <c r="N12" s="22" t="n">
        <v>128641.75</v>
      </c>
      <c r="O12" s="22" t="n">
        <v>3155.76</v>
      </c>
      <c r="P12" s="22" t="n">
        <v>59527.81999999999</v>
      </c>
      <c r="Q12" s="21" t="n">
        <v>289586.17</v>
      </c>
      <c r="R12" s="20" t="n">
        <v>14</v>
      </c>
      <c r="S12" s="21" t="n">
        <v>14292.32</v>
      </c>
      <c r="T12" s="22" t="n">
        <v>304829.33</v>
      </c>
      <c r="U12" s="23" t="n">
        <v>0.003119</v>
      </c>
      <c r="V12" s="23" t="n">
        <v>0.949994</v>
      </c>
      <c r="W12" s="23" t="n">
        <v>0.046886</v>
      </c>
      <c r="X12" s="40" t="n">
        <v>14</v>
      </c>
      <c r="Y12" s="18" t="n"/>
      <c r="Z12" s="18" t="inlineStr">
        <is>
          <t>NÃO</t>
        </is>
      </c>
    </row>
    <row r="13">
      <c r="A13" s="18" t="inlineStr">
        <is>
          <t>16/CIDAN</t>
        </is>
      </c>
      <c r="B13" s="18" t="inlineStr">
        <is>
          <t>SPE - CIDADE NOVA LTDA</t>
        </is>
      </c>
      <c r="C13" s="18" t="inlineStr">
        <is>
          <t>149</t>
        </is>
      </c>
      <c r="D13" s="18" t="inlineStr">
        <is>
          <t>IGREJA EVANGELICA ASSEMBLEIA DE DEUS</t>
        </is>
      </c>
      <c r="E13" s="25" t="inlineStr">
        <is>
          <t>QUADRA 12/LOTE 05</t>
        </is>
      </c>
      <c r="F13" s="38" t="inlineStr">
        <is>
          <t>INADIMPLENTE</t>
        </is>
      </c>
      <c r="G13" s="22" t="n">
        <v>170.49</v>
      </c>
      <c r="H13" s="20" t="n">
        <v>178</v>
      </c>
      <c r="I13" s="20" t="n">
        <v>4</v>
      </c>
      <c r="J13" s="21" t="n">
        <v>758.6799999999999</v>
      </c>
      <c r="K13" s="39" t="n">
        <v>160</v>
      </c>
      <c r="L13" s="22" t="n">
        <v>27278.4</v>
      </c>
      <c r="M13" s="22" t="n">
        <v>28652.82</v>
      </c>
      <c r="N13" s="22" t="n">
        <v>72431.75999999999</v>
      </c>
      <c r="O13" s="22" t="n">
        <v>1789.63</v>
      </c>
      <c r="P13" s="22" t="n">
        <v>33551.17</v>
      </c>
      <c r="Q13" s="21" t="n">
        <v>163703.78</v>
      </c>
      <c r="R13" s="20" t="n">
        <v>14</v>
      </c>
      <c r="S13" s="21" t="n">
        <v>8160.18</v>
      </c>
      <c r="T13" s="22" t="n">
        <v>172622.64</v>
      </c>
      <c r="U13" s="23" t="n">
        <v>0.004395</v>
      </c>
      <c r="V13" s="23" t="n">
        <v>0.948333</v>
      </c>
      <c r="W13" s="23" t="n">
        <v>0.047272</v>
      </c>
      <c r="X13" s="40" t="n">
        <v>16</v>
      </c>
      <c r="Y13" s="18" t="n"/>
      <c r="Z13" s="18" t="inlineStr">
        <is>
          <t>NÃO</t>
        </is>
      </c>
    </row>
    <row r="14">
      <c r="A14" s="18" t="inlineStr">
        <is>
          <t>16/CIDAN</t>
        </is>
      </c>
      <c r="B14" s="18" t="inlineStr">
        <is>
          <t>SPE - CIDADE NOVA LTDA</t>
        </is>
      </c>
      <c r="C14" s="18" t="inlineStr">
        <is>
          <t>150</t>
        </is>
      </c>
      <c r="D14" s="18" t="inlineStr">
        <is>
          <t>IGREJA EVANGELICA ASSEMBLEIA DE DEUS</t>
        </is>
      </c>
      <c r="E14" s="25" t="inlineStr">
        <is>
          <t>QUADRA 12/LOTE 04</t>
        </is>
      </c>
      <c r="F14" s="38" t="inlineStr">
        <is>
          <t>INADIMPLENTE</t>
        </is>
      </c>
      <c r="G14" s="22" t="n">
        <v>173.61</v>
      </c>
      <c r="H14" s="20" t="n">
        <v>178</v>
      </c>
      <c r="I14" s="20" t="n">
        <v>4</v>
      </c>
      <c r="J14" s="21" t="n">
        <v>772.53</v>
      </c>
      <c r="K14" s="39" t="n">
        <v>160</v>
      </c>
      <c r="L14" s="22" t="n">
        <v>27777.6</v>
      </c>
      <c r="M14" s="22" t="n">
        <v>29176.92</v>
      </c>
      <c r="N14" s="22" t="n">
        <v>73757.17999999999</v>
      </c>
      <c r="O14" s="22" t="n">
        <v>1822.38</v>
      </c>
      <c r="P14" s="22" t="n">
        <v>34164.99999999999</v>
      </c>
      <c r="Q14" s="21" t="n">
        <v>166699.08</v>
      </c>
      <c r="R14" s="20" t="n">
        <v>14</v>
      </c>
      <c r="S14" s="21" t="n">
        <v>8309.42</v>
      </c>
      <c r="T14" s="22" t="n">
        <v>175781.03</v>
      </c>
      <c r="U14" s="23" t="n">
        <v>0.004395</v>
      </c>
      <c r="V14" s="23" t="n">
        <v>0.948334</v>
      </c>
      <c r="W14" s="23" t="n">
        <v>0.047271</v>
      </c>
      <c r="X14" s="40" t="n">
        <v>16</v>
      </c>
      <c r="Y14" s="18" t="n"/>
      <c r="Z14" s="18" t="inlineStr">
        <is>
          <t>NÃO</t>
        </is>
      </c>
    </row>
    <row r="15">
      <c r="A15" s="18" t="inlineStr">
        <is>
          <t>16/CIDAN</t>
        </is>
      </c>
      <c r="B15" s="18" t="inlineStr">
        <is>
          <t>SPE - CIDADE NOVA LTDA</t>
        </is>
      </c>
      <c r="C15" s="18" t="inlineStr">
        <is>
          <t>92</t>
        </is>
      </c>
      <c r="D15" s="18" t="inlineStr">
        <is>
          <t>VALMIR VIEIRA DIAS</t>
        </is>
      </c>
      <c r="E15" s="25" t="inlineStr">
        <is>
          <t>QUADRA 06/LOTE 14</t>
        </is>
      </c>
      <c r="F15" s="38" t="inlineStr">
        <is>
          <t>INADIMPLENTE</t>
        </is>
      </c>
      <c r="G15" s="22" t="n">
        <v>173.61</v>
      </c>
      <c r="H15" s="20" t="n">
        <v>178</v>
      </c>
      <c r="I15" s="20" t="n">
        <v>6</v>
      </c>
      <c r="J15" s="21" t="n">
        <v>1041.66</v>
      </c>
      <c r="K15" s="39" t="n">
        <v>159</v>
      </c>
      <c r="L15" s="22" t="n">
        <v>27603.99</v>
      </c>
      <c r="M15" s="22" t="n">
        <v>29176.92</v>
      </c>
      <c r="N15" s="22" t="n">
        <v>72634.77</v>
      </c>
      <c r="O15" s="22" t="n">
        <v>1809.13</v>
      </c>
      <c r="P15" s="22" t="n">
        <v>33679.99999999999</v>
      </c>
      <c r="Q15" s="21" t="n">
        <v>164904.81</v>
      </c>
      <c r="R15" s="20" t="n">
        <v>13</v>
      </c>
      <c r="S15" s="21" t="n">
        <v>7715.889999999999</v>
      </c>
      <c r="T15" s="22" t="n">
        <v>173662.36</v>
      </c>
      <c r="U15" s="23" t="n">
        <v>0.005998</v>
      </c>
      <c r="V15" s="23" t="n">
        <v>0.9495710000000001</v>
      </c>
      <c r="W15" s="23" t="n">
        <v>0.04443</v>
      </c>
      <c r="X15" s="40" t="n">
        <v>20</v>
      </c>
      <c r="Y15" s="18" t="n"/>
      <c r="Z15" s="18" t="inlineStr">
        <is>
          <t>NÃO</t>
        </is>
      </c>
    </row>
    <row r="16">
      <c r="A16" s="18" t="inlineStr">
        <is>
          <t>16/CIDAN</t>
        </is>
      </c>
      <c r="B16" s="18" t="inlineStr">
        <is>
          <t>SPE - CIDADE NOVA LTDA</t>
        </is>
      </c>
      <c r="C16" s="18" t="inlineStr">
        <is>
          <t>151</t>
        </is>
      </c>
      <c r="D16" s="18" t="inlineStr">
        <is>
          <t>MANOEL GONÇALVES DE CENA</t>
        </is>
      </c>
      <c r="E16" s="25" t="inlineStr">
        <is>
          <t>QUADRA 01/LOTE 14</t>
        </is>
      </c>
      <c r="F16" s="38" t="inlineStr">
        <is>
          <t>INADIMPLENTE</t>
        </is>
      </c>
      <c r="G16" s="22" t="n">
        <v>298.61</v>
      </c>
      <c r="H16" s="20" t="n">
        <v>178</v>
      </c>
      <c r="I16" s="20" t="n">
        <v>16</v>
      </c>
      <c r="J16" s="21" t="n">
        <v>6049.16</v>
      </c>
      <c r="K16" s="39" t="n">
        <v>146</v>
      </c>
      <c r="L16" s="22" t="n">
        <v>43597.06</v>
      </c>
      <c r="M16" s="22" t="n">
        <v>50033.83</v>
      </c>
      <c r="N16" s="22" t="n">
        <v>105531.18</v>
      </c>
      <c r="O16" s="22" t="n">
        <v>2858.84</v>
      </c>
      <c r="P16" s="22" t="n">
        <v>49310.59999999999</v>
      </c>
      <c r="Q16" s="21" t="n">
        <v>251331.51</v>
      </c>
      <c r="R16" s="20" t="n">
        <v>13</v>
      </c>
      <c r="S16" s="21" t="n">
        <v>13271.44</v>
      </c>
      <c r="T16" s="22" t="n">
        <v>270652.11</v>
      </c>
      <c r="U16" s="23" t="n">
        <v>0.02235</v>
      </c>
      <c r="V16" s="23" t="n">
        <v>0.928615</v>
      </c>
      <c r="W16" s="23" t="n">
        <v>0.049035</v>
      </c>
      <c r="X16" s="40" t="n">
        <v>20</v>
      </c>
      <c r="Y16" s="18" t="n"/>
      <c r="Z16" s="18" t="inlineStr">
        <is>
          <t>NÃO</t>
        </is>
      </c>
    </row>
    <row r="17">
      <c r="A17" s="18" t="inlineStr">
        <is>
          <t>16/CIDAN</t>
        </is>
      </c>
      <c r="B17" s="18" t="inlineStr">
        <is>
          <t>SPE - CIDADE NOVA LTDA</t>
        </is>
      </c>
      <c r="C17" s="18" t="inlineStr">
        <is>
          <t>80</t>
        </is>
      </c>
      <c r="D17" s="18" t="inlineStr">
        <is>
          <t>SAMOEL NAUAR DE ARAUJO</t>
        </is>
      </c>
      <c r="E17" s="25" t="inlineStr">
        <is>
          <t>QUADRA 01/LOTE 11</t>
        </is>
      </c>
      <c r="F17" s="38" t="inlineStr">
        <is>
          <t>INADIMPLENTE</t>
        </is>
      </c>
      <c r="G17" s="22" t="n">
        <v>298.61</v>
      </c>
      <c r="H17" s="20" t="n">
        <v>178</v>
      </c>
      <c r="I17" s="20" t="n">
        <v>4</v>
      </c>
      <c r="J17" s="21" t="n">
        <v>1250.1</v>
      </c>
      <c r="K17" s="39" t="n">
        <v>145</v>
      </c>
      <c r="L17" s="22" t="n">
        <v>43298.45</v>
      </c>
      <c r="M17" s="22" t="n">
        <v>50033.83</v>
      </c>
      <c r="N17" s="22" t="n">
        <v>104168.87</v>
      </c>
      <c r="O17" s="22" t="n">
        <v>2841.27</v>
      </c>
      <c r="P17" s="22" t="n">
        <v>48729.42999999999</v>
      </c>
      <c r="Q17" s="21" t="n">
        <v>249071.85</v>
      </c>
      <c r="R17" s="20" t="n">
        <v>29</v>
      </c>
      <c r="S17" s="21" t="n">
        <v>29606.17</v>
      </c>
      <c r="T17" s="22" t="n">
        <v>279928.12</v>
      </c>
      <c r="U17" s="23" t="n">
        <v>0.004466</v>
      </c>
      <c r="V17" s="23" t="n">
        <v>0.889771</v>
      </c>
      <c r="W17" s="23" t="n">
        <v>0.105763</v>
      </c>
      <c r="X17" s="40" t="n">
        <v>16</v>
      </c>
      <c r="Y17" s="18" t="n"/>
      <c r="Z17" s="18" t="inlineStr">
        <is>
          <t>NÃO</t>
        </is>
      </c>
    </row>
    <row r="18">
      <c r="A18" s="18" t="inlineStr">
        <is>
          <t>16/CIDAN</t>
        </is>
      </c>
      <c r="B18" s="18" t="inlineStr">
        <is>
          <t>SPE - CIDADE NOVA LTDA</t>
        </is>
      </c>
      <c r="C18" s="18" t="inlineStr">
        <is>
          <t>270</t>
        </is>
      </c>
      <c r="D18" s="18" t="inlineStr">
        <is>
          <t>BENICIO FRANCISCO MARTINS DE LIMA</t>
        </is>
      </c>
      <c r="E18" s="25" t="inlineStr">
        <is>
          <t>QUADRA 20/LOTE 07</t>
        </is>
      </c>
      <c r="F18" s="38" t="inlineStr">
        <is>
          <t>INADIMPLENTE</t>
        </is>
      </c>
      <c r="G18" s="22" t="n">
        <v>173.61</v>
      </c>
      <c r="H18" s="20" t="n">
        <v>178</v>
      </c>
      <c r="I18" s="20" t="n">
        <v>22</v>
      </c>
      <c r="J18" s="21" t="n">
        <v>3929.47</v>
      </c>
      <c r="K18" s="39" t="n">
        <v>142</v>
      </c>
      <c r="L18" s="22" t="n">
        <v>24652.62</v>
      </c>
      <c r="M18" s="22" t="n">
        <v>29056.36</v>
      </c>
      <c r="N18" s="22" t="n">
        <v>58489.29</v>
      </c>
      <c r="O18" s="22" t="n">
        <v>1622.22</v>
      </c>
      <c r="P18" s="22" t="n">
        <v>27401.39</v>
      </c>
      <c r="Q18" s="21" t="n">
        <v>141221.88</v>
      </c>
      <c r="R18" s="20" t="n">
        <v>14</v>
      </c>
      <c r="S18" s="21" t="n">
        <v>8309.42</v>
      </c>
      <c r="T18" s="22" t="n">
        <v>153460.77</v>
      </c>
      <c r="U18" s="23" t="n">
        <v>0.025606</v>
      </c>
      <c r="V18" s="23" t="n">
        <v>0.920247</v>
      </c>
      <c r="W18" s="23" t="n">
        <v>0.054147</v>
      </c>
      <c r="X18" s="40" t="n">
        <v>10</v>
      </c>
      <c r="Y18" s="18" t="n"/>
      <c r="Z18" s="18" t="inlineStr">
        <is>
          <t>NÃO</t>
        </is>
      </c>
    </row>
    <row r="19">
      <c r="A19" s="18" t="inlineStr">
        <is>
          <t>16/CIDAN</t>
        </is>
      </c>
      <c r="B19" s="18" t="inlineStr">
        <is>
          <t>SPE - CIDADE NOVA LTDA</t>
        </is>
      </c>
      <c r="C19" s="18" t="inlineStr">
        <is>
          <t>303</t>
        </is>
      </c>
      <c r="D19" s="18" t="inlineStr">
        <is>
          <t>BENICIO FRANCISCO MARTINS DE LIMA</t>
        </is>
      </c>
      <c r="E19" s="25" t="inlineStr">
        <is>
          <t>QUADRA 39/LOTE 06</t>
        </is>
      </c>
      <c r="F19" s="38" t="inlineStr">
        <is>
          <t>INADIMPLENTE</t>
        </is>
      </c>
      <c r="G19" s="22" t="n">
        <v>116.67</v>
      </c>
      <c r="H19" s="20" t="n">
        <v>178</v>
      </c>
      <c r="I19" s="20" t="n">
        <v>20</v>
      </c>
      <c r="J19" s="21" t="n">
        <v>2365.56</v>
      </c>
      <c r="K19" s="39" t="n">
        <v>142</v>
      </c>
      <c r="L19" s="22" t="n">
        <v>16567.14</v>
      </c>
      <c r="M19" s="22" t="n">
        <v>17977.02</v>
      </c>
      <c r="N19" s="22" t="n">
        <v>37453.22</v>
      </c>
      <c r="O19" s="22" t="n">
        <v>1041.98</v>
      </c>
      <c r="P19" s="22" t="n">
        <v>17554.1</v>
      </c>
      <c r="Q19" s="21" t="n">
        <v>90593.46000000001</v>
      </c>
      <c r="R19" s="20" t="n">
        <v>16</v>
      </c>
      <c r="S19" s="21" t="n">
        <v>6197.12</v>
      </c>
      <c r="T19" s="22" t="n">
        <v>99156.14</v>
      </c>
      <c r="U19" s="23" t="n">
        <v>0.023857</v>
      </c>
      <c r="V19" s="23" t="n">
        <v>0.913644</v>
      </c>
      <c r="W19" s="23" t="n">
        <v>0.062499</v>
      </c>
      <c r="X19" s="40" t="n">
        <v>10</v>
      </c>
      <c r="Y19" s="18" t="n"/>
      <c r="Z19" s="18" t="inlineStr">
        <is>
          <t>NÃO</t>
        </is>
      </c>
    </row>
    <row r="20">
      <c r="A20" s="18" t="inlineStr">
        <is>
          <t>16/CIDAN</t>
        </is>
      </c>
      <c r="B20" s="18" t="inlineStr">
        <is>
          <t>SPE - CIDADE NOVA LTDA</t>
        </is>
      </c>
      <c r="C20" s="18" t="inlineStr">
        <is>
          <t>49</t>
        </is>
      </c>
      <c r="D20" s="18" t="inlineStr">
        <is>
          <t>ERINEIDE MARIA COELHO DAMASCENO</t>
        </is>
      </c>
      <c r="E20" s="25" t="inlineStr">
        <is>
          <t>QUADRA 05/LOTE 03</t>
        </is>
      </c>
      <c r="F20" s="38" t="inlineStr">
        <is>
          <t>INADIMPLENTE</t>
        </is>
      </c>
      <c r="G20" s="22" t="n">
        <v>201.39</v>
      </c>
      <c r="H20" s="20" t="n">
        <v>178</v>
      </c>
      <c r="I20" s="20" t="n">
        <v>33</v>
      </c>
      <c r="J20" s="21" t="n">
        <v>7308.91</v>
      </c>
      <c r="K20" s="39" t="n">
        <v>132</v>
      </c>
      <c r="L20" s="22" t="n">
        <v>26583.48</v>
      </c>
      <c r="M20" s="22" t="n">
        <v>33337.56</v>
      </c>
      <c r="N20" s="22" t="n">
        <v>58253.72</v>
      </c>
      <c r="O20" s="22" t="n">
        <v>1744.72</v>
      </c>
      <c r="P20" s="22" t="n">
        <v>27315.37</v>
      </c>
      <c r="Q20" s="21" t="n">
        <v>147234.85</v>
      </c>
      <c r="R20" s="20" t="n">
        <v>13</v>
      </c>
      <c r="S20" s="21" t="n">
        <v>8950.629999999999</v>
      </c>
      <c r="T20" s="22" t="n">
        <v>163494.39</v>
      </c>
      <c r="U20" s="23" t="n">
        <v>0.044704</v>
      </c>
      <c r="V20" s="23" t="n">
        <v>0.90055</v>
      </c>
      <c r="W20" s="23" t="n">
        <v>0.054746</v>
      </c>
      <c r="X20" s="40" t="n">
        <v>16</v>
      </c>
      <c r="Y20" s="18" t="n"/>
      <c r="Z20" s="18" t="inlineStr">
        <is>
          <t>NÃO</t>
        </is>
      </c>
    </row>
    <row r="21">
      <c r="A21" s="18" t="inlineStr">
        <is>
          <t>16/CIDAN</t>
        </is>
      </c>
      <c r="B21" s="18" t="inlineStr">
        <is>
          <t>SPE - CIDADE NOVA LTDA</t>
        </is>
      </c>
      <c r="C21" s="18" t="inlineStr">
        <is>
          <t>297</t>
        </is>
      </c>
      <c r="D21" s="18" t="inlineStr">
        <is>
          <t>ALENILSON VAL PORTO GUIDA</t>
        </is>
      </c>
      <c r="E21" s="25" t="inlineStr">
        <is>
          <t>QUADRA 21/LOTE 18</t>
        </is>
      </c>
      <c r="F21" s="38" t="inlineStr">
        <is>
          <t>INADIMPLENTE</t>
        </is>
      </c>
      <c r="G21" s="22" t="n">
        <v>151.58</v>
      </c>
      <c r="H21" s="20" t="n">
        <v>178</v>
      </c>
      <c r="I21" s="20" t="n">
        <v>32</v>
      </c>
      <c r="J21" s="21" t="n">
        <v>5274.690000000001</v>
      </c>
      <c r="K21" s="39" t="n">
        <v>131</v>
      </c>
      <c r="L21" s="22" t="n">
        <v>19856.98</v>
      </c>
      <c r="M21" s="22" t="n">
        <v>24366.09</v>
      </c>
      <c r="N21" s="22" t="n">
        <v>42096.24</v>
      </c>
      <c r="O21" s="22" t="n">
        <v>1279.25</v>
      </c>
      <c r="P21" s="22" t="n">
        <v>19744.16</v>
      </c>
      <c r="Q21" s="21" t="n">
        <v>107342.72</v>
      </c>
      <c r="R21" s="20" t="n">
        <v>15</v>
      </c>
      <c r="S21" s="21" t="n">
        <v>7670.55</v>
      </c>
      <c r="T21" s="22" t="n">
        <v>120287.96</v>
      </c>
      <c r="U21" s="23" t="n">
        <v>0.043851</v>
      </c>
      <c r="V21" s="23" t="n">
        <v>0.892381</v>
      </c>
      <c r="W21" s="23" t="n">
        <v>0.06376800000000001</v>
      </c>
      <c r="X21" s="40" t="n">
        <v>25</v>
      </c>
      <c r="Y21" s="18" t="n"/>
      <c r="Z21" s="18" t="inlineStr">
        <is>
          <t>NÃO</t>
        </is>
      </c>
    </row>
    <row r="22">
      <c r="A22" s="18" t="inlineStr">
        <is>
          <t>16/CIDAN</t>
        </is>
      </c>
      <c r="B22" s="18" t="inlineStr">
        <is>
          <t>SPE - CIDADE NOVA LTDA</t>
        </is>
      </c>
      <c r="C22" s="18" t="inlineStr">
        <is>
          <t>229</t>
        </is>
      </c>
      <c r="D22" s="18" t="inlineStr">
        <is>
          <t>HELDER COELHO MELO</t>
        </is>
      </c>
      <c r="E22" s="25" t="inlineStr">
        <is>
          <t>QUADRA 20/LOTE 19</t>
        </is>
      </c>
      <c r="F22" s="38" t="inlineStr">
        <is>
          <t>INADIMPLENTE</t>
        </is>
      </c>
      <c r="G22" s="22" t="n">
        <v>161.73</v>
      </c>
      <c r="H22" s="20" t="n">
        <v>178</v>
      </c>
      <c r="I22" s="20" t="n">
        <v>35</v>
      </c>
      <c r="J22" s="21" t="n">
        <v>6139.55</v>
      </c>
      <c r="K22" s="39" t="n">
        <v>130</v>
      </c>
      <c r="L22" s="22" t="n">
        <v>21024.9</v>
      </c>
      <c r="M22" s="22" t="n">
        <v>26708.85</v>
      </c>
      <c r="N22" s="22" t="n">
        <v>45366.04</v>
      </c>
      <c r="O22" s="22" t="n">
        <v>1379.96</v>
      </c>
      <c r="P22" s="22" t="n">
        <v>21263.44</v>
      </c>
      <c r="Q22" s="21" t="n">
        <v>115743.19</v>
      </c>
      <c r="R22" s="20" t="n">
        <v>13</v>
      </c>
      <c r="S22" s="21" t="n">
        <v>7187.959999999999</v>
      </c>
      <c r="T22" s="22" t="n">
        <v>129070.7</v>
      </c>
      <c r="U22" s="23" t="n">
        <v>0.047567</v>
      </c>
      <c r="V22" s="23" t="n">
        <v>0.896743</v>
      </c>
      <c r="W22" s="23" t="n">
        <v>0.05569</v>
      </c>
      <c r="X22" s="40" t="n">
        <v>16</v>
      </c>
      <c r="Y22" s="18" t="n"/>
      <c r="Z22" s="18" t="inlineStr">
        <is>
          <t>NÃO</t>
        </is>
      </c>
    </row>
    <row r="23">
      <c r="A23" s="18" t="inlineStr">
        <is>
          <t>16/CIDAN</t>
        </is>
      </c>
      <c r="B23" s="18" t="inlineStr">
        <is>
          <t>SPE - CIDADE NOVA LTDA</t>
        </is>
      </c>
      <c r="C23" s="18" t="inlineStr">
        <is>
          <t>256</t>
        </is>
      </c>
      <c r="D23" s="18" t="inlineStr">
        <is>
          <t>SILVIO CORREA DOS SANTO MELO NETO</t>
        </is>
      </c>
      <c r="E23" s="25" t="inlineStr">
        <is>
          <t>QUADRA 20/LOTE 18</t>
        </is>
      </c>
      <c r="F23" s="38" t="inlineStr">
        <is>
          <t>INADIMPLENTE</t>
        </is>
      </c>
      <c r="G23" s="22" t="n">
        <v>178.07</v>
      </c>
      <c r="H23" s="20" t="n">
        <v>178</v>
      </c>
      <c r="I23" s="20" t="n">
        <v>34</v>
      </c>
      <c r="J23" s="21" t="n">
        <v>6520.09</v>
      </c>
      <c r="K23" s="39" t="n">
        <v>130</v>
      </c>
      <c r="L23" s="22" t="n">
        <v>23149.1</v>
      </c>
      <c r="M23" s="22" t="n">
        <v>29407.14</v>
      </c>
      <c r="N23" s="22" t="n">
        <v>50129.76</v>
      </c>
      <c r="O23" s="22" t="n">
        <v>1521.09</v>
      </c>
      <c r="P23" s="22" t="n">
        <v>23502.59</v>
      </c>
      <c r="Q23" s="21" t="n">
        <v>127709.68</v>
      </c>
      <c r="R23" s="20" t="n">
        <v>14</v>
      </c>
      <c r="S23" s="21" t="n">
        <v>8522.92</v>
      </c>
      <c r="T23" s="22" t="n">
        <v>142752.69</v>
      </c>
      <c r="U23" s="23" t="n">
        <v>0.045674</v>
      </c>
      <c r="V23" s="23" t="n">
        <v>0.894622</v>
      </c>
      <c r="W23" s="23" t="n">
        <v>0.059704</v>
      </c>
      <c r="X23" s="40" t="n">
        <v>10</v>
      </c>
      <c r="Y23" s="18" t="n"/>
      <c r="Z23" s="18" t="inlineStr">
        <is>
          <t>NÃO</t>
        </is>
      </c>
    </row>
    <row r="24">
      <c r="A24" s="18" t="inlineStr">
        <is>
          <t>16/CIDAN</t>
        </is>
      </c>
      <c r="B24" s="18" t="inlineStr">
        <is>
          <t>SPE - CIDADE NOVA LTDA</t>
        </is>
      </c>
      <c r="C24" s="18" t="inlineStr">
        <is>
          <t>58</t>
        </is>
      </c>
      <c r="D24" s="18" t="inlineStr">
        <is>
          <t>ERINEIDE MARIA COELHO DAMASCENO</t>
        </is>
      </c>
      <c r="E24" s="25" t="inlineStr">
        <is>
          <t>QUADRA 05/LOTE 04</t>
        </is>
      </c>
      <c r="F24" s="38" t="inlineStr">
        <is>
          <t>INADIMPLENTE</t>
        </is>
      </c>
      <c r="G24" s="22" t="n">
        <v>201.39</v>
      </c>
      <c r="H24" s="20" t="n">
        <v>178</v>
      </c>
      <c r="I24" s="20" t="n">
        <v>34</v>
      </c>
      <c r="J24" s="21" t="n">
        <v>7517.01</v>
      </c>
      <c r="K24" s="39" t="n">
        <v>130</v>
      </c>
      <c r="L24" s="22" t="n">
        <v>26180.7</v>
      </c>
      <c r="M24" s="22" t="n">
        <v>33258.52</v>
      </c>
      <c r="N24" s="22" t="n">
        <v>56694.96</v>
      </c>
      <c r="O24" s="22" t="n">
        <v>1720.38</v>
      </c>
      <c r="P24" s="22" t="n">
        <v>26580.53</v>
      </c>
      <c r="Q24" s="21" t="n">
        <v>144435.09</v>
      </c>
      <c r="R24" s="20" t="n">
        <v>14</v>
      </c>
      <c r="S24" s="21" t="n">
        <v>9639.139999999999</v>
      </c>
      <c r="T24" s="22" t="n">
        <v>161591.24</v>
      </c>
      <c r="U24" s="23" t="n">
        <v>0.046519</v>
      </c>
      <c r="V24" s="23" t="n">
        <v>0.89383</v>
      </c>
      <c r="W24" s="23" t="n">
        <v>0.059651</v>
      </c>
      <c r="X24" s="40" t="n">
        <v>10</v>
      </c>
      <c r="Y24" s="18" t="n"/>
      <c r="Z24" s="18" t="inlineStr">
        <is>
          <t>NÃO</t>
        </is>
      </c>
    </row>
    <row r="25">
      <c r="A25" s="18" t="inlineStr">
        <is>
          <t>16/CIDAN</t>
        </is>
      </c>
      <c r="B25" s="18" t="inlineStr">
        <is>
          <t>SPE - CIDADE NOVA LTDA</t>
        </is>
      </c>
      <c r="C25" s="18" t="inlineStr">
        <is>
          <t>89</t>
        </is>
      </c>
      <c r="D25" s="18" t="inlineStr">
        <is>
          <t>RAIMUNDA DE JESUS</t>
        </is>
      </c>
      <c r="E25" s="25" t="inlineStr">
        <is>
          <t>QUADRA 02/LOTE 06</t>
        </is>
      </c>
      <c r="F25" s="38" t="inlineStr">
        <is>
          <t>INADIMPLENTE</t>
        </is>
      </c>
      <c r="G25" s="22" t="n">
        <v>298.61</v>
      </c>
      <c r="H25" s="20" t="n">
        <v>178</v>
      </c>
      <c r="I25" s="20" t="n">
        <v>36</v>
      </c>
      <c r="J25" s="21" t="n">
        <v>11924.78</v>
      </c>
      <c r="K25" s="39" t="n">
        <v>129</v>
      </c>
      <c r="L25" s="22" t="n">
        <v>38520.69</v>
      </c>
      <c r="M25" s="22" t="n">
        <v>49255.23</v>
      </c>
      <c r="N25" s="22" t="n">
        <v>81743.03999999999</v>
      </c>
      <c r="O25" s="22" t="n">
        <v>2521.7</v>
      </c>
      <c r="P25" s="22" t="n">
        <v>38309.66</v>
      </c>
      <c r="Q25" s="21" t="n">
        <v>210350.32</v>
      </c>
      <c r="R25" s="20" t="n">
        <v>13</v>
      </c>
      <c r="S25" s="21" t="n">
        <v>13271.44</v>
      </c>
      <c r="T25" s="22" t="n">
        <v>235546.54</v>
      </c>
      <c r="U25" s="23" t="n">
        <v>0.050626</v>
      </c>
      <c r="V25" s="23" t="n">
        <v>0.893031</v>
      </c>
      <c r="W25" s="23" t="n">
        <v>0.056343</v>
      </c>
      <c r="X25" s="40" t="n">
        <v>26</v>
      </c>
      <c r="Y25" s="18" t="n"/>
      <c r="Z25" s="18" t="inlineStr">
        <is>
          <t>NÃO</t>
        </is>
      </c>
    </row>
    <row r="26">
      <c r="A26" s="18" t="inlineStr">
        <is>
          <t>16/CIDAN</t>
        </is>
      </c>
      <c r="B26" s="18" t="inlineStr">
        <is>
          <t>SPE - CIDADE NOVA LTDA</t>
        </is>
      </c>
      <c r="C26" s="18" t="inlineStr">
        <is>
          <t>291</t>
        </is>
      </c>
      <c r="D26" s="18" t="inlineStr">
        <is>
          <t>PAULO ROBERTO DE SOUZA</t>
        </is>
      </c>
      <c r="E26" s="25" t="inlineStr">
        <is>
          <t>QUADRA 20/LOTE 09 PARCELA 100/118</t>
        </is>
      </c>
      <c r="F26" s="38" t="inlineStr">
        <is>
          <t>INADIMPLENTE</t>
        </is>
      </c>
      <c r="G26" s="22" t="n">
        <v>260.42</v>
      </c>
      <c r="H26" s="20" t="n">
        <v>118</v>
      </c>
      <c r="I26" s="20" t="n">
        <v>0</v>
      </c>
      <c r="J26" s="21" t="n">
        <v>0</v>
      </c>
      <c r="K26" s="39" t="n">
        <v>118</v>
      </c>
      <c r="L26" s="22" t="n">
        <v>30729.56</v>
      </c>
      <c r="M26" s="22" t="n">
        <v>17244.5</v>
      </c>
      <c r="N26" s="22" t="n">
        <v>104381.05</v>
      </c>
      <c r="O26" s="22" t="n">
        <v>1958.27</v>
      </c>
      <c r="P26" s="22" t="n">
        <v>49939.24</v>
      </c>
      <c r="Q26" s="21" t="n">
        <v>204252.62</v>
      </c>
      <c r="R26" s="20" t="n">
        <v>0</v>
      </c>
      <c r="S26" s="21" t="n">
        <v>0</v>
      </c>
      <c r="T26" s="22" t="n">
        <v>204252.62</v>
      </c>
      <c r="U26" s="23" t="n">
        <v>0</v>
      </c>
      <c r="V26" s="23" t="n">
        <v>1</v>
      </c>
      <c r="W26" s="23" t="n">
        <v>0</v>
      </c>
      <c r="X26" s="40" t="n">
        <v>30</v>
      </c>
      <c r="Y26" s="18" t="n"/>
      <c r="Z26" s="18" t="inlineStr">
        <is>
          <t>NÃO</t>
        </is>
      </c>
    </row>
    <row r="27">
      <c r="A27" s="18" t="inlineStr">
        <is>
          <t>16/CIDAN</t>
        </is>
      </c>
      <c r="B27" s="18" t="inlineStr">
        <is>
          <t>SPE - CIDADE NOVA LTDA</t>
        </is>
      </c>
      <c r="C27" s="18" t="inlineStr">
        <is>
          <t>98</t>
        </is>
      </c>
      <c r="D27" s="18" t="inlineStr">
        <is>
          <t>ANTONIO BRITO SEREJO</t>
        </is>
      </c>
      <c r="E27" s="25" t="inlineStr">
        <is>
          <t>QUADRA 01/LOTE 18</t>
        </is>
      </c>
      <c r="F27" s="38" t="inlineStr">
        <is>
          <t>INADIMPLENTE</t>
        </is>
      </c>
      <c r="G27" s="22" t="n">
        <v>298.61</v>
      </c>
      <c r="H27" s="20" t="n">
        <v>178</v>
      </c>
      <c r="I27" s="20" t="n">
        <v>47</v>
      </c>
      <c r="J27" s="21" t="n">
        <v>16004.62</v>
      </c>
      <c r="K27" s="39" t="n">
        <v>117</v>
      </c>
      <c r="L27" s="22" t="n">
        <v>34937.37</v>
      </c>
      <c r="M27" s="22" t="n">
        <v>48734.68</v>
      </c>
      <c r="N27" s="22" t="n">
        <v>68944.23</v>
      </c>
      <c r="O27" s="22" t="n">
        <v>2316.38</v>
      </c>
      <c r="P27" s="22" t="n">
        <v>32147.32</v>
      </c>
      <c r="Q27" s="21" t="n">
        <v>187079.98</v>
      </c>
      <c r="R27" s="20" t="n">
        <v>14</v>
      </c>
      <c r="S27" s="21" t="n">
        <v>14386.68</v>
      </c>
      <c r="T27" s="22" t="n">
        <v>217471.28</v>
      </c>
      <c r="U27" s="23" t="n">
        <v>0.07359400000000001</v>
      </c>
      <c r="V27" s="23" t="n">
        <v>0.860251</v>
      </c>
      <c r="W27" s="23" t="n">
        <v>0.066154</v>
      </c>
      <c r="X27" s="40" t="n">
        <v>15</v>
      </c>
      <c r="Y27" s="18" t="n"/>
      <c r="Z27" s="18" t="inlineStr">
        <is>
          <t>NÃO</t>
        </is>
      </c>
    </row>
    <row r="28">
      <c r="A28" s="18" t="inlineStr">
        <is>
          <t>16/CIDAN</t>
        </is>
      </c>
      <c r="B28" s="18" t="inlineStr">
        <is>
          <t>SPE - CIDADE NOVA LTDA</t>
        </is>
      </c>
      <c r="C28" s="18" t="inlineStr">
        <is>
          <t>95</t>
        </is>
      </c>
      <c r="D28" s="18" t="inlineStr">
        <is>
          <t>MARIA DE FATIMA SANTOS</t>
        </is>
      </c>
      <c r="E28" s="25" t="inlineStr">
        <is>
          <t>QUADRA 01/LOTE 16</t>
        </is>
      </c>
      <c r="F28" s="38" t="inlineStr">
        <is>
          <t>INADIMPLENTE</t>
        </is>
      </c>
      <c r="G28" s="22" t="n">
        <v>298.61</v>
      </c>
      <c r="H28" s="20" t="n">
        <v>178</v>
      </c>
      <c r="I28" s="20" t="n">
        <v>48</v>
      </c>
      <c r="J28" s="21" t="n">
        <v>16266.3</v>
      </c>
      <c r="K28" s="39" t="n">
        <v>116</v>
      </c>
      <c r="L28" s="22" t="n">
        <v>34638.76</v>
      </c>
      <c r="M28" s="22" t="n">
        <v>48127.35</v>
      </c>
      <c r="N28" s="22" t="n">
        <v>67041.68000000001</v>
      </c>
      <c r="O28" s="22" t="n">
        <v>2280.67</v>
      </c>
      <c r="P28" s="22" t="n">
        <v>31269.36</v>
      </c>
      <c r="Q28" s="21" t="n">
        <v>183357.82</v>
      </c>
      <c r="R28" s="20" t="n">
        <v>14</v>
      </c>
      <c r="S28" s="21" t="n">
        <v>14292.32</v>
      </c>
      <c r="T28" s="22" t="n">
        <v>213916.44</v>
      </c>
      <c r="U28" s="23" t="n">
        <v>0.07604</v>
      </c>
      <c r="V28" s="23" t="n">
        <v>0.857147</v>
      </c>
      <c r="W28" s="23" t="n">
        <v>0.066813</v>
      </c>
      <c r="X28" s="40" t="n">
        <v>15</v>
      </c>
      <c r="Y28" s="18" t="n"/>
      <c r="Z28" s="18" t="inlineStr">
        <is>
          <t>NÃO</t>
        </is>
      </c>
    </row>
    <row r="29">
      <c r="A29" s="18" t="inlineStr">
        <is>
          <t>16/CIDAN</t>
        </is>
      </c>
      <c r="B29" s="18" t="inlineStr">
        <is>
          <t>SPE - CIDADE NOVA LTDA</t>
        </is>
      </c>
      <c r="C29" s="18" t="inlineStr">
        <is>
          <t>96</t>
        </is>
      </c>
      <c r="D29" s="18" t="inlineStr">
        <is>
          <t>ANTONIO BRITO SEREJO</t>
        </is>
      </c>
      <c r="E29" s="25" t="inlineStr">
        <is>
          <t>QUADRA 01/LOTE 19</t>
        </is>
      </c>
      <c r="F29" s="38" t="inlineStr">
        <is>
          <t>INADIMPLENTE</t>
        </is>
      </c>
      <c r="G29" s="22" t="n">
        <v>298.61</v>
      </c>
      <c r="H29" s="20" t="n">
        <v>178</v>
      </c>
      <c r="I29" s="20" t="n">
        <v>48</v>
      </c>
      <c r="J29" s="21" t="n">
        <v>16361.41</v>
      </c>
      <c r="K29" s="39" t="n">
        <v>116</v>
      </c>
      <c r="L29" s="22" t="n">
        <v>34638.76</v>
      </c>
      <c r="M29" s="22" t="n">
        <v>48673.72</v>
      </c>
      <c r="N29" s="22" t="n">
        <v>67484.03999999999</v>
      </c>
      <c r="O29" s="22" t="n">
        <v>2295.75</v>
      </c>
      <c r="P29" s="22" t="n">
        <v>31475.62</v>
      </c>
      <c r="Q29" s="21" t="n">
        <v>184567.89</v>
      </c>
      <c r="R29" s="20" t="n">
        <v>14</v>
      </c>
      <c r="S29" s="21" t="n">
        <v>14386.68</v>
      </c>
      <c r="T29" s="22" t="n">
        <v>215315.98</v>
      </c>
      <c r="U29" s="23" t="n">
        <v>0.075988</v>
      </c>
      <c r="V29" s="23" t="n">
        <v>0.857196</v>
      </c>
      <c r="W29" s="23" t="n">
        <v>0.066817</v>
      </c>
      <c r="X29" s="40" t="n">
        <v>15</v>
      </c>
      <c r="Y29" s="18" t="n"/>
      <c r="Z29" s="18" t="inlineStr">
        <is>
          <t>NÃO</t>
        </is>
      </c>
    </row>
    <row r="30">
      <c r="A30" s="18" t="inlineStr">
        <is>
          <t>16/CIDAN</t>
        </is>
      </c>
      <c r="B30" s="18" t="inlineStr">
        <is>
          <t>SPE - CIDADE NOVA LTDA</t>
        </is>
      </c>
      <c r="C30" s="18" t="inlineStr">
        <is>
          <t>97</t>
        </is>
      </c>
      <c r="D30" s="18" t="inlineStr">
        <is>
          <t>ANTONIO BRITO SEREJO</t>
        </is>
      </c>
      <c r="E30" s="25" t="inlineStr">
        <is>
          <t>QUADRA 01/LOTE 17</t>
        </is>
      </c>
      <c r="F30" s="38" t="inlineStr">
        <is>
          <t>INADIMPLENTE</t>
        </is>
      </c>
      <c r="G30" s="22" t="n">
        <v>293.24</v>
      </c>
      <c r="H30" s="20" t="n">
        <v>178</v>
      </c>
      <c r="I30" s="20" t="n">
        <v>48</v>
      </c>
      <c r="J30" s="21" t="n">
        <v>16065.9</v>
      </c>
      <c r="K30" s="39" t="n">
        <v>116</v>
      </c>
      <c r="L30" s="22" t="n">
        <v>34015.84</v>
      </c>
      <c r="M30" s="22" t="n">
        <v>47798.31</v>
      </c>
      <c r="N30" s="22" t="n">
        <v>66270.52</v>
      </c>
      <c r="O30" s="22" t="n">
        <v>2254.44</v>
      </c>
      <c r="P30" s="22" t="n">
        <v>30909.64</v>
      </c>
      <c r="Q30" s="21" t="n">
        <v>181248.75</v>
      </c>
      <c r="R30" s="20" t="n">
        <v>14</v>
      </c>
      <c r="S30" s="21" t="n">
        <v>14127.96</v>
      </c>
      <c r="T30" s="22" t="n">
        <v>211442.61</v>
      </c>
      <c r="U30" s="23" t="n">
        <v>0.07598199999999999</v>
      </c>
      <c r="V30" s="23" t="n">
        <v>0.857201</v>
      </c>
      <c r="W30" s="23" t="n">
        <v>0.066817</v>
      </c>
      <c r="X30" s="40" t="n">
        <v>15</v>
      </c>
      <c r="Y30" s="18" t="n"/>
      <c r="Z30" s="18" t="inlineStr">
        <is>
          <t>NÃO</t>
        </is>
      </c>
    </row>
    <row r="31">
      <c r="A31" s="18" t="inlineStr">
        <is>
          <t>16/CIDAN</t>
        </is>
      </c>
      <c r="B31" s="18" t="inlineStr">
        <is>
          <t>SPE - CIDADE NOVA LTDA</t>
        </is>
      </c>
      <c r="C31" s="18" t="inlineStr">
        <is>
          <t>355</t>
        </is>
      </c>
      <c r="D31" s="18" t="inlineStr">
        <is>
          <t>JOSENILTON CARDOSO LIMA</t>
        </is>
      </c>
      <c r="E31" s="25" t="inlineStr">
        <is>
          <t>QUADRA 08/LOTE 06 PARCELA 10/60</t>
        </is>
      </c>
      <c r="F31" s="38" t="inlineStr">
        <is>
          <t>INADIMPLENTE</t>
        </is>
      </c>
      <c r="G31" s="22" t="n">
        <v>166.66</v>
      </c>
      <c r="H31" s="20" t="n">
        <v>60</v>
      </c>
      <c r="I31" s="20" t="n">
        <v>0</v>
      </c>
      <c r="J31" s="21" t="n">
        <v>0</v>
      </c>
      <c r="K31" s="39" t="n">
        <v>60</v>
      </c>
      <c r="L31" s="22" t="n">
        <v>10000</v>
      </c>
      <c r="M31" s="22" t="n">
        <v>3304.71</v>
      </c>
      <c r="N31" s="22" t="n">
        <v>18770.51</v>
      </c>
      <c r="O31" s="22" t="n">
        <v>528.27</v>
      </c>
      <c r="P31" s="22" t="n">
        <v>13108.63</v>
      </c>
      <c r="Q31" s="21" t="n">
        <v>45712.12</v>
      </c>
      <c r="R31" s="20" t="n">
        <v>0</v>
      </c>
      <c r="S31" s="21" t="n">
        <v>0</v>
      </c>
      <c r="T31" s="22" t="n">
        <v>45712.12</v>
      </c>
      <c r="U31" s="23" t="n">
        <v>0</v>
      </c>
      <c r="V31" s="23" t="n">
        <v>1</v>
      </c>
      <c r="W31" s="23" t="n">
        <v>0</v>
      </c>
      <c r="X31" s="40" t="n">
        <v>30</v>
      </c>
      <c r="Y31" s="18" t="n"/>
      <c r="Z31" s="18" t="inlineStr">
        <is>
          <t>NÃO</t>
        </is>
      </c>
    </row>
    <row r="32">
      <c r="A32" s="18" t="inlineStr">
        <is>
          <t>16/CIDAN</t>
        </is>
      </c>
      <c r="B32" s="18" t="inlineStr">
        <is>
          <t>SPE - CIDADE NOVA LTDA</t>
        </is>
      </c>
      <c r="C32" s="18" t="inlineStr">
        <is>
          <t>361</t>
        </is>
      </c>
      <c r="D32" s="18" t="inlineStr">
        <is>
          <t>MIKLAS SANTANA GOMES</t>
        </is>
      </c>
      <c r="E32" s="25" t="inlineStr">
        <is>
          <t>QUADRA 07/LOTE 07 PARCELA 10/60</t>
        </is>
      </c>
      <c r="F32" s="38" t="inlineStr">
        <is>
          <t>INADIMPLENTE</t>
        </is>
      </c>
      <c r="G32" s="22" t="n">
        <v>166.66</v>
      </c>
      <c r="H32" s="20" t="n">
        <v>60</v>
      </c>
      <c r="I32" s="20" t="n">
        <v>0</v>
      </c>
      <c r="J32" s="21" t="n">
        <v>0</v>
      </c>
      <c r="K32" s="39" t="n">
        <v>60</v>
      </c>
      <c r="L32" s="22" t="n">
        <v>10000</v>
      </c>
      <c r="M32" s="22" t="n">
        <v>3439.53</v>
      </c>
      <c r="N32" s="22" t="n">
        <v>18612.78</v>
      </c>
      <c r="O32" s="22" t="n">
        <v>529.05</v>
      </c>
      <c r="P32" s="22" t="n">
        <v>13014.43</v>
      </c>
      <c r="Q32" s="21" t="n">
        <v>45595.79</v>
      </c>
      <c r="R32" s="20" t="n">
        <v>0</v>
      </c>
      <c r="S32" s="21" t="n">
        <v>0</v>
      </c>
      <c r="T32" s="22" t="n">
        <v>45595.79</v>
      </c>
      <c r="U32" s="23" t="n">
        <v>0</v>
      </c>
      <c r="V32" s="23" t="n">
        <v>1</v>
      </c>
      <c r="W32" s="23" t="n">
        <v>0</v>
      </c>
      <c r="X32" s="40" t="n">
        <v>20</v>
      </c>
      <c r="Y32" s="18" t="n"/>
      <c r="Z32" s="18" t="inlineStr">
        <is>
          <t>NÃO</t>
        </is>
      </c>
    </row>
    <row r="33">
      <c r="A33" s="18" t="inlineStr">
        <is>
          <t>16/CIDAN</t>
        </is>
      </c>
      <c r="B33" s="18" t="inlineStr">
        <is>
          <t>SPE - CIDADE NOVA LTDA</t>
        </is>
      </c>
      <c r="C33" s="18" t="inlineStr">
        <is>
          <t>362</t>
        </is>
      </c>
      <c r="D33" s="18" t="inlineStr">
        <is>
          <t>MIKLAS SANTANA GOMES</t>
        </is>
      </c>
      <c r="E33" s="25" t="inlineStr">
        <is>
          <t>QUADRA 07/LOTE 08 PARCELA 10/60</t>
        </is>
      </c>
      <c r="F33" s="38" t="inlineStr">
        <is>
          <t>INADIMPLENTE</t>
        </is>
      </c>
      <c r="G33" s="22" t="n">
        <v>166.66</v>
      </c>
      <c r="H33" s="20" t="n">
        <v>60</v>
      </c>
      <c r="I33" s="20" t="n">
        <v>0</v>
      </c>
      <c r="J33" s="21" t="n">
        <v>0</v>
      </c>
      <c r="K33" s="39" t="n">
        <v>60</v>
      </c>
      <c r="L33" s="22" t="n">
        <v>10000</v>
      </c>
      <c r="M33" s="22" t="n">
        <v>3439.53</v>
      </c>
      <c r="N33" s="22" t="n">
        <v>18612.78</v>
      </c>
      <c r="O33" s="22" t="n">
        <v>529.05</v>
      </c>
      <c r="P33" s="22" t="n">
        <v>13014.43</v>
      </c>
      <c r="Q33" s="21" t="n">
        <v>45595.79</v>
      </c>
      <c r="R33" s="20" t="n">
        <v>0</v>
      </c>
      <c r="S33" s="21" t="n">
        <v>0</v>
      </c>
      <c r="T33" s="22" t="n">
        <v>45595.79</v>
      </c>
      <c r="U33" s="23" t="n">
        <v>0</v>
      </c>
      <c r="V33" s="23" t="n">
        <v>1</v>
      </c>
      <c r="W33" s="23" t="n">
        <v>0</v>
      </c>
      <c r="X33" s="40" t="n">
        <v>20</v>
      </c>
      <c r="Y33" s="18" t="n"/>
      <c r="Z33" s="18" t="inlineStr">
        <is>
          <t>NÃO</t>
        </is>
      </c>
    </row>
    <row r="34">
      <c r="A34" s="18" t="inlineStr">
        <is>
          <t>16/CIDAN</t>
        </is>
      </c>
      <c r="B34" s="18" t="inlineStr">
        <is>
          <t>SPE - CIDADE NOVA LTDA</t>
        </is>
      </c>
      <c r="C34" s="18" t="inlineStr">
        <is>
          <t>331</t>
        </is>
      </c>
      <c r="D34" s="18" t="inlineStr">
        <is>
          <t>WELLITON DIAS DE CARVALHO</t>
        </is>
      </c>
      <c r="E34" s="25" t="inlineStr">
        <is>
          <t>QUADRA 08/LOTE 18</t>
        </is>
      </c>
      <c r="F34" s="38" t="inlineStr">
        <is>
          <t>INADIMPLENTE</t>
        </is>
      </c>
      <c r="G34" s="22" t="n">
        <v>333.33</v>
      </c>
      <c r="H34" s="20" t="n">
        <v>60</v>
      </c>
      <c r="I34" s="20" t="n">
        <v>2</v>
      </c>
      <c r="J34" s="21" t="n">
        <v>666.6800000000001</v>
      </c>
      <c r="K34" s="39" t="n">
        <v>58</v>
      </c>
      <c r="L34" s="22" t="n">
        <v>19333.34</v>
      </c>
      <c r="M34" s="22" t="n">
        <v>3330.82</v>
      </c>
      <c r="N34" s="22" t="n">
        <v>29409.87</v>
      </c>
      <c r="O34" s="22" t="n">
        <v>798.2</v>
      </c>
      <c r="P34" s="22" t="n">
        <v>17248.32</v>
      </c>
      <c r="Q34" s="21" t="n">
        <v>70120.55</v>
      </c>
      <c r="R34" s="20" t="n">
        <v>0</v>
      </c>
      <c r="S34" s="21" t="n">
        <v>0</v>
      </c>
      <c r="T34" s="22" t="n">
        <v>70787.23</v>
      </c>
      <c r="U34" s="23" t="n">
        <v>0.009417999999999999</v>
      </c>
      <c r="V34" s="23" t="n">
        <v>0.990582</v>
      </c>
      <c r="W34" s="23" t="n">
        <v>0</v>
      </c>
      <c r="X34" s="40" t="n">
        <v>16</v>
      </c>
      <c r="Y34" s="18" t="n"/>
      <c r="Z34" s="18" t="inlineStr">
        <is>
          <t>NÃO</t>
        </is>
      </c>
    </row>
    <row r="35">
      <c r="A35" s="18" t="inlineStr">
        <is>
          <t>16/CIDAN</t>
        </is>
      </c>
      <c r="B35" s="18" t="inlineStr">
        <is>
          <t>SPE - CIDADE NOVA LTDA</t>
        </is>
      </c>
      <c r="C35" s="18" t="inlineStr">
        <is>
          <t>352</t>
        </is>
      </c>
      <c r="D35" s="18" t="inlineStr">
        <is>
          <t>JOSIVALDO CARDOSO LIMA</t>
        </is>
      </c>
      <c r="E35" s="25" t="inlineStr">
        <is>
          <t>QUADRA 08/LOTE 08</t>
        </is>
      </c>
      <c r="F35" s="38" t="inlineStr">
        <is>
          <t>INADIMPLENTE</t>
        </is>
      </c>
      <c r="G35" s="22" t="n">
        <v>166.66</v>
      </c>
      <c r="H35" s="20" t="n">
        <v>60</v>
      </c>
      <c r="I35" s="20" t="n">
        <v>6</v>
      </c>
      <c r="J35" s="21" t="n">
        <v>1165.54</v>
      </c>
      <c r="K35" s="39" t="n">
        <v>53</v>
      </c>
      <c r="L35" s="22" t="n">
        <v>10205.02</v>
      </c>
      <c r="M35" s="22" t="n">
        <v>3288.93</v>
      </c>
      <c r="N35" s="22" t="n">
        <v>17294.95</v>
      </c>
      <c r="O35" s="22" t="n">
        <v>517.65</v>
      </c>
      <c r="P35" s="22" t="n">
        <v>12388.5</v>
      </c>
      <c r="Q35" s="21" t="n">
        <v>43695.05</v>
      </c>
      <c r="R35" s="20" t="n">
        <v>0</v>
      </c>
      <c r="S35" s="21" t="n">
        <v>0</v>
      </c>
      <c r="T35" s="22" t="n">
        <v>44860.59</v>
      </c>
      <c r="U35" s="23" t="n">
        <v>0.025981</v>
      </c>
      <c r="V35" s="23" t="n">
        <v>0.974019</v>
      </c>
      <c r="W35" s="23" t="n">
        <v>0</v>
      </c>
      <c r="X35" s="40" t="n">
        <v>20</v>
      </c>
      <c r="Y35" s="18" t="n"/>
      <c r="Z35" s="18" t="inlineStr">
        <is>
          <t>NÃO</t>
        </is>
      </c>
    </row>
    <row r="36">
      <c r="A36" s="18" t="inlineStr">
        <is>
          <t>16/CIDAN</t>
        </is>
      </c>
      <c r="B36" s="18" t="inlineStr">
        <is>
          <t>SPE - CIDADE NOVA LTDA</t>
        </is>
      </c>
      <c r="C36" s="18" t="inlineStr">
        <is>
          <t>356</t>
        </is>
      </c>
      <c r="D36" s="18" t="inlineStr">
        <is>
          <t>EUDINEIA SILVA FEITOSA</t>
        </is>
      </c>
      <c r="E36" s="25" t="inlineStr">
        <is>
          <t>QUADRA 07/LOTE 06</t>
        </is>
      </c>
      <c r="F36" s="38" t="inlineStr">
        <is>
          <t>INADIMPLENTE</t>
        </is>
      </c>
      <c r="G36" s="22" t="n">
        <v>166.66</v>
      </c>
      <c r="H36" s="20" t="n">
        <v>60</v>
      </c>
      <c r="I36" s="20" t="n">
        <v>11</v>
      </c>
      <c r="J36" s="21" t="n">
        <v>1910.13</v>
      </c>
      <c r="K36" s="39" t="n">
        <v>49</v>
      </c>
      <c r="L36" s="22" t="n">
        <v>8166.74</v>
      </c>
      <c r="M36" s="22" t="n">
        <v>3439.53</v>
      </c>
      <c r="N36" s="22" t="n">
        <v>14029.5</v>
      </c>
      <c r="O36" s="22" t="n">
        <v>431.9</v>
      </c>
      <c r="P36" s="22" t="n">
        <v>9988.01</v>
      </c>
      <c r="Q36" s="21" t="n">
        <v>36055.68</v>
      </c>
      <c r="R36" s="20" t="n">
        <v>0</v>
      </c>
      <c r="S36" s="21" t="n">
        <v>0</v>
      </c>
      <c r="T36" s="22" t="n">
        <v>37965.81</v>
      </c>
      <c r="U36" s="23" t="n">
        <v>0.050312</v>
      </c>
      <c r="V36" s="23" t="n">
        <v>0.949688</v>
      </c>
      <c r="W36" s="23" t="n">
        <v>0</v>
      </c>
      <c r="X36" s="40" t="n">
        <v>15</v>
      </c>
      <c r="Y36" s="18" t="n"/>
      <c r="Z36" s="18" t="inlineStr">
        <is>
          <t>NÃO</t>
        </is>
      </c>
    </row>
    <row r="37">
      <c r="A37" s="18" t="inlineStr">
        <is>
          <t>16/CIDAN</t>
        </is>
      </c>
      <c r="B37" s="18" t="inlineStr">
        <is>
          <t>SPE - CIDADE NOVA LTDA</t>
        </is>
      </c>
      <c r="C37" s="18" t="inlineStr">
        <is>
          <t>346</t>
        </is>
      </c>
      <c r="D37" s="18" t="inlineStr">
        <is>
          <t>MAURO PEREIRA DE LIMA</t>
        </is>
      </c>
      <c r="E37" s="25" t="inlineStr">
        <is>
          <t>QUADRA 01/LOTE 04</t>
        </is>
      </c>
      <c r="F37" s="38" t="inlineStr">
        <is>
          <t>INADIMPLENTE</t>
        </is>
      </c>
      <c r="G37" s="22" t="n">
        <v>250</v>
      </c>
      <c r="H37" s="20" t="n">
        <v>60</v>
      </c>
      <c r="I37" s="20" t="n">
        <v>12</v>
      </c>
      <c r="J37" s="21" t="n">
        <v>3110.1</v>
      </c>
      <c r="K37" s="39" t="n">
        <v>48</v>
      </c>
      <c r="L37" s="22" t="n">
        <v>12000</v>
      </c>
      <c r="M37" s="22" t="n">
        <v>5217.12</v>
      </c>
      <c r="N37" s="22" t="n">
        <v>21571.72</v>
      </c>
      <c r="O37" s="22" t="n">
        <v>651.4299999999999</v>
      </c>
      <c r="P37" s="22" t="n">
        <v>15354.69</v>
      </c>
      <c r="Q37" s="21" t="n">
        <v>54794.96</v>
      </c>
      <c r="R37" s="20" t="n">
        <v>0</v>
      </c>
      <c r="S37" s="21" t="n">
        <v>0</v>
      </c>
      <c r="T37" s="22" t="n">
        <v>57905.06</v>
      </c>
      <c r="U37" s="23" t="n">
        <v>0.05371</v>
      </c>
      <c r="V37" s="23" t="n">
        <v>0.94629</v>
      </c>
      <c r="W37" s="23" t="n">
        <v>0</v>
      </c>
      <c r="X37" s="40" t="n">
        <v>25</v>
      </c>
      <c r="Y37" s="18" t="n"/>
      <c r="Z37" s="18" t="inlineStr">
        <is>
          <t>NÃO</t>
        </is>
      </c>
    </row>
    <row r="38">
      <c r="A38" s="18" t="inlineStr">
        <is>
          <t>16/CIDAN</t>
        </is>
      </c>
      <c r="B38" s="18" t="inlineStr">
        <is>
          <t>SPE - CIDADE NOVA LTDA</t>
        </is>
      </c>
      <c r="C38" s="18" t="inlineStr">
        <is>
          <t>343</t>
        </is>
      </c>
      <c r="D38" s="18" t="inlineStr">
        <is>
          <t>EUZILENE JESUS DA CRUZ SOARES</t>
        </is>
      </c>
      <c r="E38" s="25" t="inlineStr">
        <is>
          <t>QUADRA 08/LOTE 16</t>
        </is>
      </c>
      <c r="F38" s="38" t="inlineStr">
        <is>
          <t>INADIMPLENTE</t>
        </is>
      </c>
      <c r="G38" s="22" t="n">
        <v>166.66</v>
      </c>
      <c r="H38" s="20" t="n">
        <v>60</v>
      </c>
      <c r="I38" s="20" t="n">
        <v>15</v>
      </c>
      <c r="J38" s="21" t="n">
        <v>2600.07</v>
      </c>
      <c r="K38" s="39" t="n">
        <v>45</v>
      </c>
      <c r="L38" s="22" t="n">
        <v>7500.099999999999</v>
      </c>
      <c r="M38" s="22" t="n">
        <v>3390.39</v>
      </c>
      <c r="N38" s="22" t="n">
        <v>13076.04</v>
      </c>
      <c r="O38" s="22" t="n">
        <v>404.81</v>
      </c>
      <c r="P38" s="22" t="n">
        <v>9350.26</v>
      </c>
      <c r="Q38" s="21" t="n">
        <v>33721.6</v>
      </c>
      <c r="R38" s="20" t="n">
        <v>0</v>
      </c>
      <c r="S38" s="21" t="n">
        <v>0</v>
      </c>
      <c r="T38" s="22" t="n">
        <v>36321.67</v>
      </c>
      <c r="U38" s="23" t="n">
        <v>0.071585</v>
      </c>
      <c r="V38" s="23" t="n">
        <v>0.928415</v>
      </c>
      <c r="W38" s="23" t="n">
        <v>0</v>
      </c>
      <c r="X38" s="40" t="n">
        <v>25</v>
      </c>
      <c r="Y38" s="18" t="n"/>
      <c r="Z38" s="18" t="inlineStr">
        <is>
          <t>NÃO</t>
        </is>
      </c>
    </row>
    <row r="39">
      <c r="A39" s="18" t="inlineStr">
        <is>
          <t>16/CIDAN</t>
        </is>
      </c>
      <c r="B39" s="18" t="inlineStr">
        <is>
          <t>SPE - CIDADE NOVA LTDA</t>
        </is>
      </c>
      <c r="C39" s="18" t="inlineStr">
        <is>
          <t>345</t>
        </is>
      </c>
      <c r="D39" s="18" t="inlineStr">
        <is>
          <t>VILDERLEIS RODRIGUES DA SILVA</t>
        </is>
      </c>
      <c r="E39" s="25" t="inlineStr">
        <is>
          <t>QUADRA 08/LOTE 15</t>
        </is>
      </c>
      <c r="F39" s="38" t="inlineStr">
        <is>
          <t>INADIMPLENTE</t>
        </is>
      </c>
      <c r="G39" s="22" t="n">
        <v>166.66</v>
      </c>
      <c r="H39" s="20" t="n">
        <v>60</v>
      </c>
      <c r="I39" s="20" t="n">
        <v>18</v>
      </c>
      <c r="J39" s="21" t="n">
        <v>3357</v>
      </c>
      <c r="K39" s="39" t="n">
        <v>42</v>
      </c>
      <c r="L39" s="22" t="n">
        <v>7000.12</v>
      </c>
      <c r="M39" s="22" t="n">
        <v>3302.49</v>
      </c>
      <c r="N39" s="22" t="n">
        <v>11851.46</v>
      </c>
      <c r="O39" s="22" t="n">
        <v>376.18</v>
      </c>
      <c r="P39" s="22" t="n">
        <v>8506.299999999999</v>
      </c>
      <c r="Q39" s="21" t="n">
        <v>31036.55</v>
      </c>
      <c r="R39" s="20" t="n">
        <v>0</v>
      </c>
      <c r="S39" s="21" t="n">
        <v>0</v>
      </c>
      <c r="T39" s="22" t="n">
        <v>34393.55</v>
      </c>
      <c r="U39" s="23" t="n">
        <v>0.097606</v>
      </c>
      <c r="V39" s="23" t="n">
        <v>0.902394</v>
      </c>
      <c r="W39" s="23" t="n">
        <v>0</v>
      </c>
      <c r="X39" s="40" t="n">
        <v>25</v>
      </c>
      <c r="Y39" s="18" t="n"/>
      <c r="Z39" s="18" t="inlineStr">
        <is>
          <t>NÃO</t>
        </is>
      </c>
    </row>
    <row r="40">
      <c r="A40" s="18" t="inlineStr">
        <is>
          <t>16/CIDAN</t>
        </is>
      </c>
      <c r="B40" s="18" t="inlineStr">
        <is>
          <t>SPE - CIDADE NOVA LTDA</t>
        </is>
      </c>
      <c r="C40" s="18" t="inlineStr">
        <is>
          <t>401</t>
        </is>
      </c>
      <c r="D40" s="18" t="inlineStr">
        <is>
          <t>EURENICE DOS SANTOS SILVA</t>
        </is>
      </c>
      <c r="E40" s="25" t="inlineStr">
        <is>
          <t>QUADRA 67/LOTE 01</t>
        </is>
      </c>
      <c r="F40" s="38" t="inlineStr">
        <is>
          <t>INADIMPLENTE</t>
        </is>
      </c>
      <c r="G40" s="22" t="n">
        <v>312.5</v>
      </c>
      <c r="H40" s="20" t="n">
        <v>96</v>
      </c>
      <c r="I40" s="20" t="n">
        <v>2</v>
      </c>
      <c r="J40" s="21" t="n">
        <v>658.86</v>
      </c>
      <c r="K40" s="39" t="n">
        <v>42</v>
      </c>
      <c r="L40" s="22" t="n">
        <v>13125</v>
      </c>
      <c r="M40" s="22" t="n">
        <v>1790.68</v>
      </c>
      <c r="N40" s="22" t="n">
        <v>3754.52</v>
      </c>
      <c r="O40" s="22" t="n">
        <v>351.54</v>
      </c>
      <c r="P40" s="22" t="n">
        <v>2662</v>
      </c>
      <c r="Q40" s="21" t="n">
        <v>21683.74</v>
      </c>
      <c r="R40" s="20" t="n">
        <v>52</v>
      </c>
      <c r="S40" s="21" t="n">
        <v>21779.68</v>
      </c>
      <c r="T40" s="22" t="n">
        <v>44122.28</v>
      </c>
      <c r="U40" s="23" t="n">
        <v>0.014933</v>
      </c>
      <c r="V40" s="23" t="n">
        <v>0.491446</v>
      </c>
      <c r="W40" s="23" t="n">
        <v>0.493621</v>
      </c>
      <c r="X40" s="40" t="n">
        <v>22</v>
      </c>
      <c r="Y40" s="18" t="n"/>
      <c r="Z40" s="18" t="inlineStr">
        <is>
          <t>NÃO</t>
        </is>
      </c>
    </row>
    <row r="41">
      <c r="A41" s="18" t="inlineStr">
        <is>
          <t>16/CIDAN</t>
        </is>
      </c>
      <c r="B41" s="18" t="inlineStr">
        <is>
          <t>SPE - CIDADE NOVA LTDA</t>
        </is>
      </c>
      <c r="C41" s="18" t="inlineStr">
        <is>
          <t>402</t>
        </is>
      </c>
      <c r="D41" s="18" t="inlineStr">
        <is>
          <t>EURENICE DOS SANTOS SILVA</t>
        </is>
      </c>
      <c r="E41" s="25" t="inlineStr">
        <is>
          <t>QUADRA 67/LOTE 02</t>
        </is>
      </c>
      <c r="F41" s="38" t="inlineStr">
        <is>
          <t>INADIMPLENTE</t>
        </is>
      </c>
      <c r="G41" s="22" t="n">
        <v>312.5</v>
      </c>
      <c r="H41" s="20" t="n">
        <v>96</v>
      </c>
      <c r="I41" s="20" t="n">
        <v>2</v>
      </c>
      <c r="J41" s="21" t="n">
        <v>658.78</v>
      </c>
      <c r="K41" s="39" t="n">
        <v>42</v>
      </c>
      <c r="L41" s="22" t="n">
        <v>13125</v>
      </c>
      <c r="M41" s="22" t="n">
        <v>1790.68</v>
      </c>
      <c r="N41" s="22" t="n">
        <v>3754.52</v>
      </c>
      <c r="O41" s="22" t="n">
        <v>351.54</v>
      </c>
      <c r="P41" s="22" t="n">
        <v>2662</v>
      </c>
      <c r="Q41" s="21" t="n">
        <v>21683.74</v>
      </c>
      <c r="R41" s="20" t="n">
        <v>52</v>
      </c>
      <c r="S41" s="21" t="n">
        <v>21779.68</v>
      </c>
      <c r="T41" s="22" t="n">
        <v>44122.2</v>
      </c>
      <c r="U41" s="23" t="n">
        <v>0.014931</v>
      </c>
      <c r="V41" s="23" t="n">
        <v>0.491447</v>
      </c>
      <c r="W41" s="23" t="n">
        <v>0.493622</v>
      </c>
      <c r="X41" s="40" t="n">
        <v>22</v>
      </c>
      <c r="Y41" s="18" t="n"/>
      <c r="Z41" s="18" t="inlineStr">
        <is>
          <t>NÃO</t>
        </is>
      </c>
    </row>
    <row r="42">
      <c r="A42" s="18" t="inlineStr">
        <is>
          <t>16/CIDAN</t>
        </is>
      </c>
      <c r="B42" s="18" t="inlineStr">
        <is>
          <t>SPE - CIDADE NOVA LTDA</t>
        </is>
      </c>
      <c r="C42" s="18" t="inlineStr">
        <is>
          <t>359</t>
        </is>
      </c>
      <c r="D42" s="18" t="inlineStr">
        <is>
          <t>CARLOS JUNIOR ANJOS DE SOUZA</t>
        </is>
      </c>
      <c r="E42" s="25" t="inlineStr">
        <is>
          <t>QUADRA 07/LOTE 09</t>
        </is>
      </c>
      <c r="F42" s="38" t="inlineStr">
        <is>
          <t>INADIMPLENTE</t>
        </is>
      </c>
      <c r="G42" s="22" t="n">
        <v>208.33</v>
      </c>
      <c r="H42" s="20" t="n">
        <v>48</v>
      </c>
      <c r="I42" s="20" t="n">
        <v>10</v>
      </c>
      <c r="J42" s="21" t="n">
        <v>2212.46</v>
      </c>
      <c r="K42" s="39" t="n">
        <v>38</v>
      </c>
      <c r="L42" s="22" t="n">
        <v>7916.700000000001</v>
      </c>
      <c r="M42" s="22" t="n">
        <v>2276.84</v>
      </c>
      <c r="N42" s="22" t="n">
        <v>15050.91</v>
      </c>
      <c r="O42" s="22" t="n">
        <v>420.22</v>
      </c>
      <c r="P42" s="22" t="n">
        <v>10817.32</v>
      </c>
      <c r="Q42" s="21" t="n">
        <v>36481.99</v>
      </c>
      <c r="R42" s="20" t="n">
        <v>0</v>
      </c>
      <c r="S42" s="21" t="n">
        <v>0</v>
      </c>
      <c r="T42" s="22" t="n">
        <v>38694.45</v>
      </c>
      <c r="U42" s="23" t="n">
        <v>0.057178</v>
      </c>
      <c r="V42" s="23" t="n">
        <v>0.942822</v>
      </c>
      <c r="W42" s="23" t="n">
        <v>0</v>
      </c>
      <c r="X42" s="40" t="n">
        <v>10</v>
      </c>
      <c r="Y42" s="18" t="n"/>
      <c r="Z42" s="18" t="inlineStr">
        <is>
          <t>NÃO</t>
        </is>
      </c>
    </row>
    <row r="43">
      <c r="A43" s="18" t="inlineStr">
        <is>
          <t>16/CIDAN</t>
        </is>
      </c>
      <c r="B43" s="18" t="inlineStr">
        <is>
          <t>SPE - CIDADE NOVA LTDA</t>
        </is>
      </c>
      <c r="C43" s="18" t="inlineStr">
        <is>
          <t>347</t>
        </is>
      </c>
      <c r="D43" s="18" t="inlineStr">
        <is>
          <t>EDNALDO GONÇALVES DO NASCIMENTO</t>
        </is>
      </c>
      <c r="E43" s="25" t="inlineStr">
        <is>
          <t>QUADRA 08/LOTE 13</t>
        </is>
      </c>
      <c r="F43" s="38" t="inlineStr">
        <is>
          <t>INADIMPLENTE</t>
        </is>
      </c>
      <c r="G43" s="22" t="n">
        <v>166.66</v>
      </c>
      <c r="H43" s="20" t="n">
        <v>60</v>
      </c>
      <c r="I43" s="20" t="n">
        <v>30</v>
      </c>
      <c r="J43" s="21" t="n">
        <v>5630.690000000001</v>
      </c>
      <c r="K43" s="39" t="n">
        <v>30</v>
      </c>
      <c r="L43" s="22" t="n">
        <v>5000.2</v>
      </c>
      <c r="M43" s="22" t="n">
        <v>2973.45</v>
      </c>
      <c r="N43" s="22" t="n">
        <v>7377.84</v>
      </c>
      <c r="O43" s="22" t="n">
        <v>265.15</v>
      </c>
      <c r="P43" s="22" t="n">
        <v>5284.19</v>
      </c>
      <c r="Q43" s="21" t="n">
        <v>20900.83</v>
      </c>
      <c r="R43" s="20" t="n">
        <v>0</v>
      </c>
      <c r="S43" s="21" t="n">
        <v>0</v>
      </c>
      <c r="T43" s="22" t="n">
        <v>26531.52</v>
      </c>
      <c r="U43" s="23" t="n">
        <v>0.212226</v>
      </c>
      <c r="V43" s="23" t="n">
        <v>0.787774</v>
      </c>
      <c r="W43" s="23" t="n">
        <v>0</v>
      </c>
      <c r="X43" s="40" t="n">
        <v>25</v>
      </c>
      <c r="Y43" s="18" t="n"/>
      <c r="Z43" s="18" t="inlineStr">
        <is>
          <t>NÃO</t>
        </is>
      </c>
    </row>
    <row r="44">
      <c r="A44" s="18" t="inlineStr">
        <is>
          <t>16/CIDAN</t>
        </is>
      </c>
      <c r="B44" s="18" t="inlineStr">
        <is>
          <t>SPE - CIDADE NOVA LTDA</t>
        </is>
      </c>
      <c r="C44" s="18" t="inlineStr">
        <is>
          <t>337</t>
        </is>
      </c>
      <c r="D44" s="18" t="inlineStr">
        <is>
          <t>JACÓ ALVES DOS SANTOS</t>
        </is>
      </c>
      <c r="E44" s="25" t="inlineStr">
        <is>
          <t>QUADRA 08/LOTE 22</t>
        </is>
      </c>
      <c r="F44" s="38" t="inlineStr">
        <is>
          <t>INADIMPLENTE</t>
        </is>
      </c>
      <c r="G44" s="22" t="n">
        <v>333.33</v>
      </c>
      <c r="H44" s="20" t="n">
        <v>60</v>
      </c>
      <c r="I44" s="20" t="n">
        <v>45</v>
      </c>
      <c r="J44" s="21" t="n">
        <v>17279.85</v>
      </c>
      <c r="K44" s="39" t="n">
        <v>16</v>
      </c>
      <c r="L44" s="22" t="n">
        <v>5071.49</v>
      </c>
      <c r="M44" s="22" t="n">
        <v>2636.7</v>
      </c>
      <c r="N44" s="22" t="n">
        <v>5098.96</v>
      </c>
      <c r="O44" s="22" t="n">
        <v>206.84</v>
      </c>
      <c r="P44" s="22" t="n">
        <v>2632.73</v>
      </c>
      <c r="Q44" s="21" t="n">
        <v>15646.72</v>
      </c>
      <c r="R44" s="20" t="n">
        <v>0</v>
      </c>
      <c r="S44" s="21" t="n">
        <v>0</v>
      </c>
      <c r="T44" s="22" t="n">
        <v>32926.57</v>
      </c>
      <c r="U44" s="23" t="n">
        <v>0.5248</v>
      </c>
      <c r="V44" s="23" t="n">
        <v>0.4752</v>
      </c>
      <c r="W44" s="23" t="n">
        <v>0</v>
      </c>
      <c r="X44" s="40" t="n">
        <v>24</v>
      </c>
      <c r="Y44" s="18" t="n"/>
      <c r="Z44" s="18" t="inlineStr">
        <is>
          <t>NÃO</t>
        </is>
      </c>
    </row>
    <row r="45">
      <c r="A45" s="18" t="inlineStr">
        <is>
          <t>16/CIDAN</t>
        </is>
      </c>
      <c r="B45" s="18" t="inlineStr">
        <is>
          <t>SPE - CIDADE NOVA LTDA</t>
        </is>
      </c>
      <c r="C45" s="18" t="inlineStr">
        <is>
          <t>406</t>
        </is>
      </c>
      <c r="D45" s="18" t="inlineStr">
        <is>
          <t>WELINGTON FERREIRA BORGES</t>
        </is>
      </c>
      <c r="E45" s="25" t="inlineStr">
        <is>
          <t>QUADRA 71/LOTE 04|QUADRA 71/LOTE 05</t>
        </is>
      </c>
      <c r="F45" s="38" t="inlineStr">
        <is>
          <t>INADIMPLENTE</t>
        </is>
      </c>
      <c r="G45" s="22" t="n">
        <v>1234.67</v>
      </c>
      <c r="H45" s="20" t="n">
        <v>53</v>
      </c>
      <c r="I45" s="20" t="n">
        <v>3</v>
      </c>
      <c r="J45" s="21" t="n">
        <v>13352.36</v>
      </c>
      <c r="K45" s="39" t="n">
        <v>13</v>
      </c>
      <c r="L45" s="22" t="n">
        <v>28157.36</v>
      </c>
      <c r="M45" s="22" t="n">
        <v>802.8199999999999</v>
      </c>
      <c r="N45" s="22" t="n">
        <v>1762.21</v>
      </c>
      <c r="O45" s="22" t="n">
        <v>578.96</v>
      </c>
      <c r="P45" s="22" t="n">
        <v>-11.30999999999972</v>
      </c>
      <c r="Q45" s="21" t="n">
        <v>31290.04</v>
      </c>
      <c r="R45" s="20" t="n">
        <v>31</v>
      </c>
      <c r="S45" s="21" t="n">
        <v>42129</v>
      </c>
      <c r="T45" s="22" t="n">
        <v>86771.39999999999</v>
      </c>
      <c r="U45" s="23" t="n">
        <v>0.15388</v>
      </c>
      <c r="V45" s="23" t="n">
        <v>0.360603</v>
      </c>
      <c r="W45" s="23" t="n">
        <v>0.485517</v>
      </c>
      <c r="X45" s="40" t="n">
        <v>10</v>
      </c>
      <c r="Y45" s="18" t="n"/>
      <c r="Z45" s="18" t="inlineStr">
        <is>
          <t>NÃO</t>
        </is>
      </c>
    </row>
    <row r="46">
      <c r="A46" s="18" t="inlineStr">
        <is>
          <t>16/CIDAN</t>
        </is>
      </c>
      <c r="B46" s="18" t="inlineStr">
        <is>
          <t>SPE - CIDADE NOVA LTDA</t>
        </is>
      </c>
      <c r="C46" s="18" t="inlineStr">
        <is>
          <t>403</t>
        </is>
      </c>
      <c r="D46" s="18" t="inlineStr">
        <is>
          <t>RAQUEL CARDOSO MARQUES</t>
        </is>
      </c>
      <c r="E46" s="25" t="inlineStr">
        <is>
          <t>QUADRA 89/LOTE 08</t>
        </is>
      </c>
      <c r="F46" s="38" t="inlineStr">
        <is>
          <t>INADIMPLENTE</t>
        </is>
      </c>
      <c r="G46" s="22" t="n">
        <v>343.75</v>
      </c>
      <c r="H46" s="20" t="n">
        <v>96</v>
      </c>
      <c r="I46" s="20" t="n">
        <v>23</v>
      </c>
      <c r="J46" s="21" t="n">
        <v>11934.36</v>
      </c>
      <c r="K46" s="39" t="n">
        <v>12</v>
      </c>
      <c r="L46" s="22" t="n">
        <v>4125</v>
      </c>
      <c r="M46" s="22" t="n">
        <v>1183.66</v>
      </c>
      <c r="N46" s="22" t="n">
        <v>319.28</v>
      </c>
      <c r="O46" s="22" t="n">
        <v>109.45</v>
      </c>
      <c r="P46" s="22" t="n">
        <v>164.37</v>
      </c>
      <c r="Q46" s="21" t="n">
        <v>5901.76</v>
      </c>
      <c r="R46" s="20" t="n">
        <v>53</v>
      </c>
      <c r="S46" s="21" t="n">
        <v>24628.04</v>
      </c>
      <c r="T46" s="22" t="n">
        <v>42464.16</v>
      </c>
      <c r="U46" s="23" t="n">
        <v>0.281045</v>
      </c>
      <c r="V46" s="23" t="n">
        <v>0.138982</v>
      </c>
      <c r="W46" s="23" t="n">
        <v>0.579972</v>
      </c>
      <c r="X46" s="40" t="n">
        <v>25</v>
      </c>
      <c r="Y46" s="18" t="n"/>
      <c r="Z46" s="18" t="inlineStr">
        <is>
          <t>NÃO</t>
        </is>
      </c>
    </row>
    <row r="47">
      <c r="A47" s="18" t="inlineStr">
        <is>
          <t>16/CIDAN</t>
        </is>
      </c>
      <c r="B47" s="18" t="inlineStr">
        <is>
          <t>SPE - CIDADE NOVA LTDA</t>
        </is>
      </c>
      <c r="C47" s="18" t="inlineStr">
        <is>
          <t>412</t>
        </is>
      </c>
      <c r="D47" s="18" t="inlineStr">
        <is>
          <t>CONVENÇAO DOS MINISTROS DAS IGREJAS EVANGELICAS ASSEMBLEIA DE DEUS DO SETE NO SUL DO MARANHAO - COMADESMA</t>
        </is>
      </c>
      <c r="E47" s="25" t="inlineStr">
        <is>
          <t>QUADRA 92/LOTE 01</t>
        </is>
      </c>
      <c r="F47" s="38" t="inlineStr">
        <is>
          <t>INADIMPLENTE</t>
        </is>
      </c>
      <c r="G47" s="22" t="n">
        <v>98.95999999999999</v>
      </c>
      <c r="H47" s="20" t="n">
        <v>192</v>
      </c>
      <c r="I47" s="20" t="n">
        <v>20</v>
      </c>
      <c r="J47" s="21" t="n">
        <v>4024.18</v>
      </c>
      <c r="K47" s="39" t="n">
        <v>9</v>
      </c>
      <c r="L47" s="22" t="n">
        <v>890.64</v>
      </c>
      <c r="M47" s="22" t="n">
        <v>1319.46</v>
      </c>
      <c r="N47" s="22" t="n">
        <v>108.5</v>
      </c>
      <c r="O47" s="22" t="n">
        <v>45.17999999999999</v>
      </c>
      <c r="P47" s="22" t="n">
        <v>49.32000000000023</v>
      </c>
      <c r="Q47" s="21" t="n">
        <v>2413.1</v>
      </c>
      <c r="R47" s="20" t="n">
        <v>101</v>
      </c>
      <c r="S47" s="21" t="n">
        <v>25355.24</v>
      </c>
      <c r="T47" s="22" t="n">
        <v>31792.52</v>
      </c>
      <c r="U47" s="23" t="n">
        <v>0.126576</v>
      </c>
      <c r="V47" s="23" t="n">
        <v>0.075902</v>
      </c>
      <c r="W47" s="23" t="n">
        <v>0.797522</v>
      </c>
      <c r="X47" s="40" t="n">
        <v>20</v>
      </c>
      <c r="Y47" s="18" t="n"/>
      <c r="Z47" s="18" t="inlineStr">
        <is>
          <t>NÃO</t>
        </is>
      </c>
    </row>
    <row r="48">
      <c r="A48" s="18" t="inlineStr">
        <is>
          <t>16/CIDAN</t>
        </is>
      </c>
      <c r="B48" s="18" t="inlineStr">
        <is>
          <t>SPE - CIDADE NOVA LTDA</t>
        </is>
      </c>
      <c r="C48" s="18" t="inlineStr">
        <is>
          <t>413</t>
        </is>
      </c>
      <c r="D48" s="18" t="inlineStr">
        <is>
          <t>CONVENÇAO DOS MINISTROS DAS IGREJAS EVANGELICAS ASSEMBLEIA DE DEUS DO SETE NO SUL DO MARANHAO - COMADESMA</t>
        </is>
      </c>
      <c r="E48" s="25" t="inlineStr">
        <is>
          <t>QUADRA 92/LOTE 02|QUADRA 92/LOTE 34</t>
        </is>
      </c>
      <c r="F48" s="38" t="inlineStr">
        <is>
          <t>INADIMPLENTE</t>
        </is>
      </c>
      <c r="G48" s="22" t="n">
        <v>208.33</v>
      </c>
      <c r="H48" s="20" t="n">
        <v>192</v>
      </c>
      <c r="I48" s="20" t="n">
        <v>22</v>
      </c>
      <c r="J48" s="21" t="n">
        <v>13801.82</v>
      </c>
      <c r="K48" s="39" t="n">
        <v>7</v>
      </c>
      <c r="L48" s="22" t="n">
        <v>1458.31</v>
      </c>
      <c r="M48" s="22" t="n">
        <v>2179.33</v>
      </c>
      <c r="N48" s="22" t="n">
        <v>160.16</v>
      </c>
      <c r="O48" s="22" t="n">
        <v>73.99000000000001</v>
      </c>
      <c r="P48" s="22" t="n">
        <v>61.86999999999964</v>
      </c>
      <c r="Q48" s="21" t="n">
        <v>3933.66</v>
      </c>
      <c r="R48" s="20" t="n">
        <v>122</v>
      </c>
      <c r="S48" s="21" t="n">
        <v>71253.3</v>
      </c>
      <c r="T48" s="22" t="n">
        <v>88988.78</v>
      </c>
      <c r="U48" s="23" t="n">
        <v>0.155096</v>
      </c>
      <c r="V48" s="23" t="n">
        <v>0.044204</v>
      </c>
      <c r="W48" s="23" t="n">
        <v>0.8007</v>
      </c>
      <c r="X48" s="40" t="n">
        <v>10</v>
      </c>
      <c r="Y48" s="18" t="n"/>
      <c r="Z48" s="18" t="inlineStr">
        <is>
          <t>NÃO</t>
        </is>
      </c>
    </row>
    <row r="49">
      <c r="A49" s="18" t="inlineStr">
        <is>
          <t>16/CIDAN</t>
        </is>
      </c>
      <c r="B49" s="18" t="inlineStr">
        <is>
          <t>SPE - CIDADE NOVA LTDA</t>
        </is>
      </c>
      <c r="C49" s="18" t="inlineStr">
        <is>
          <t>422</t>
        </is>
      </c>
      <c r="D49" s="18" t="inlineStr">
        <is>
          <t>GERMANO VASCONCELOS DE BRITO</t>
        </is>
      </c>
      <c r="E49" s="25" t="inlineStr">
        <is>
          <t>QUADRA 71/LOTE 01</t>
        </is>
      </c>
      <c r="F49" s="38" t="inlineStr">
        <is>
          <t>INADIMPLENTE</t>
        </is>
      </c>
      <c r="G49" s="22" t="n">
        <v>486.12</v>
      </c>
      <c r="H49" s="20" t="n">
        <v>72</v>
      </c>
      <c r="I49" s="20" t="n">
        <v>15</v>
      </c>
      <c r="J49" s="21" t="n">
        <v>7459.059999999999</v>
      </c>
      <c r="K49" s="39" t="n">
        <v>5</v>
      </c>
      <c r="L49" s="22" t="n">
        <v>2430.6</v>
      </c>
      <c r="M49" s="22" t="n">
        <v>284.6</v>
      </c>
      <c r="N49" s="22" t="n">
        <v>60.4</v>
      </c>
      <c r="O49" s="22" t="n">
        <v>54.3</v>
      </c>
      <c r="P49" s="22" t="n">
        <v>-5.684341886080801e-14</v>
      </c>
      <c r="Q49" s="21" t="n">
        <v>2829.9</v>
      </c>
      <c r="R49" s="20" t="n">
        <v>52</v>
      </c>
      <c r="S49" s="21" t="n">
        <v>28238.08</v>
      </c>
      <c r="T49" s="22" t="n">
        <v>38527.04</v>
      </c>
      <c r="U49" s="23" t="n">
        <v>0.193606</v>
      </c>
      <c r="V49" s="23" t="n">
        <v>0.073452</v>
      </c>
      <c r="W49" s="23" t="n">
        <v>0.732942</v>
      </c>
      <c r="X49" s="40" t="n">
        <v>30</v>
      </c>
      <c r="Y49" s="18" t="n"/>
      <c r="Z49" s="18" t="inlineStr">
        <is>
          <t>NÃO</t>
        </is>
      </c>
    </row>
    <row r="50">
      <c r="A50" s="18" t="inlineStr">
        <is>
          <t>16/CIDAN</t>
        </is>
      </c>
      <c r="B50" s="18" t="inlineStr">
        <is>
          <t>SPE - CIDADE NOVA LTDA</t>
        </is>
      </c>
      <c r="C50" s="18" t="inlineStr">
        <is>
          <t>374</t>
        </is>
      </c>
      <c r="D50" s="18" t="inlineStr">
        <is>
          <t>GENIVAL RIBEIRO DA SILVA</t>
        </is>
      </c>
      <c r="E50" s="25" t="inlineStr">
        <is>
          <t>QUADRA 81/LOTE 18</t>
        </is>
      </c>
      <c r="F50" s="38" t="inlineStr">
        <is>
          <t>INADIMPLENTE</t>
        </is>
      </c>
      <c r="G50" s="22" t="n">
        <v>681.63</v>
      </c>
      <c r="H50" s="20" t="n">
        <v>84</v>
      </c>
      <c r="I50" s="20" t="n">
        <v>66</v>
      </c>
      <c r="J50" s="21" t="n">
        <v>30899.36</v>
      </c>
      <c r="K50" s="41" t="n">
        <v>2</v>
      </c>
      <c r="L50" s="22" t="n">
        <v>1363.26</v>
      </c>
      <c r="M50" s="22" t="n">
        <v>0</v>
      </c>
      <c r="N50" s="22" t="n">
        <v>23.55</v>
      </c>
      <c r="O50" s="22" t="n">
        <v>27.39</v>
      </c>
      <c r="P50" s="22" t="n">
        <v>6.520000000000095</v>
      </c>
      <c r="Q50" s="21" t="n">
        <v>1420.72</v>
      </c>
      <c r="R50" s="20" t="n">
        <v>16</v>
      </c>
      <c r="S50" s="21" t="n">
        <v>10906.08</v>
      </c>
      <c r="T50" s="22" t="n">
        <v>43226.16</v>
      </c>
      <c r="U50" s="23" t="n">
        <v>0.71483</v>
      </c>
      <c r="V50" s="23" t="n">
        <v>0.032867</v>
      </c>
      <c r="W50" s="23" t="n">
        <v>0.252303</v>
      </c>
      <c r="X50" s="40" t="n">
        <v>15</v>
      </c>
      <c r="Y50" s="18" t="n"/>
      <c r="Z50" s="18" t="inlineStr">
        <is>
          <t>NÃO</t>
        </is>
      </c>
    </row>
    <row r="51">
      <c r="A51" s="18" t="inlineStr">
        <is>
          <t>16/CIDAN</t>
        </is>
      </c>
      <c r="B51" s="18" t="inlineStr">
        <is>
          <t>SPE - CIDADE NOVA LTDA</t>
        </is>
      </c>
      <c r="C51" s="18" t="inlineStr">
        <is>
          <t>393</t>
        </is>
      </c>
      <c r="D51" s="18" t="inlineStr">
        <is>
          <t>MARILENE SOUSA DA COSTA</t>
        </is>
      </c>
      <c r="E51" s="25" t="inlineStr">
        <is>
          <t>QUADRA 81/LOTE 19</t>
        </is>
      </c>
      <c r="F51" s="38" t="inlineStr">
        <is>
          <t>INADIMPLENTE</t>
        </is>
      </c>
      <c r="G51" s="22" t="n">
        <v>275</v>
      </c>
      <c r="H51" s="20" t="n">
        <v>120</v>
      </c>
      <c r="I51" s="20" t="n">
        <v>36</v>
      </c>
      <c r="J51" s="21" t="n">
        <v>15468.92</v>
      </c>
      <c r="K51" s="41" t="n">
        <v>2</v>
      </c>
      <c r="L51" s="22" t="n">
        <v>550</v>
      </c>
      <c r="M51" s="22" t="n">
        <v>131.26</v>
      </c>
      <c r="N51" s="22" t="n">
        <v>5.45</v>
      </c>
      <c r="O51" s="22" t="n">
        <v>13.62</v>
      </c>
      <c r="P51" s="22" t="n">
        <v>0</v>
      </c>
      <c r="Q51" s="21" t="n">
        <v>700.33</v>
      </c>
      <c r="R51" s="20" t="n">
        <v>69</v>
      </c>
      <c r="S51" s="21" t="n">
        <v>23503.47</v>
      </c>
      <c r="T51" s="22" t="n">
        <v>39672.72</v>
      </c>
      <c r="U51" s="23" t="n">
        <v>0.389913</v>
      </c>
      <c r="V51" s="23" t="n">
        <v>0.017653</v>
      </c>
      <c r="W51" s="23" t="n">
        <v>0.592434</v>
      </c>
      <c r="X51" s="40" t="n">
        <v>6</v>
      </c>
      <c r="Y51" s="18" t="n"/>
      <c r="Z51" s="18" t="inlineStr">
        <is>
          <t>NÃO</t>
        </is>
      </c>
    </row>
    <row r="52">
      <c r="A52" s="18" t="inlineStr">
        <is>
          <t>16/CIDAN</t>
        </is>
      </c>
      <c r="B52" s="18" t="inlineStr">
        <is>
          <t>SPE - CIDADE NOVA LTDA</t>
        </is>
      </c>
      <c r="C52" s="18" t="inlineStr">
        <is>
          <t>408</t>
        </is>
      </c>
      <c r="D52" s="18" t="inlineStr">
        <is>
          <t>CONVENÇAO CONSELHO MUNDIAL APOSTOLICO DAS IGREJAS ASSEMBLEIAS DE DEUS NO BRASIL</t>
        </is>
      </c>
      <c r="E52" s="25" t="inlineStr">
        <is>
          <t>QUADRA 56/LOTE 07|QUADRA 56/LOTE 08</t>
        </is>
      </c>
      <c r="F52" s="38" t="inlineStr">
        <is>
          <t>INADIMPLENTE</t>
        </is>
      </c>
      <c r="G52" s="22" t="n">
        <v>930.55</v>
      </c>
      <c r="H52" s="20" t="n">
        <v>72</v>
      </c>
      <c r="I52" s="20" t="n">
        <v>33</v>
      </c>
      <c r="J52" s="21" t="n">
        <v>30466.07</v>
      </c>
      <c r="K52" s="41" t="n">
        <v>2</v>
      </c>
      <c r="L52" s="22" t="n">
        <v>1235.5</v>
      </c>
      <c r="M52" s="22" t="n">
        <v>302.64</v>
      </c>
      <c r="N52" s="22" t="n">
        <v>8.710000000000001</v>
      </c>
      <c r="O52" s="22" t="n">
        <v>30.76</v>
      </c>
      <c r="P52" s="22" t="n">
        <v>-2.842170943040401e-13</v>
      </c>
      <c r="Q52" s="21" t="n">
        <v>1577.61</v>
      </c>
      <c r="R52" s="20" t="n">
        <v>49</v>
      </c>
      <c r="S52" s="21" t="n">
        <v>51677.83</v>
      </c>
      <c r="T52" s="22" t="n">
        <v>83721.50999999999</v>
      </c>
      <c r="U52" s="23" t="n">
        <v>0.363898</v>
      </c>
      <c r="V52" s="23" t="n">
        <v>0.018844</v>
      </c>
      <c r="W52" s="23" t="n">
        <v>0.617259</v>
      </c>
      <c r="X52" s="40" t="n">
        <v>20</v>
      </c>
      <c r="Y52" s="18" t="n"/>
      <c r="Z52" s="18" t="inlineStr">
        <is>
          <t>NÃO</t>
        </is>
      </c>
    </row>
    <row r="53">
      <c r="A53" s="18" t="inlineStr">
        <is>
          <t>16/CIDAN</t>
        </is>
      </c>
      <c r="B53" s="18" t="inlineStr">
        <is>
          <t>SPE - CIDADE NOVA LTDA</t>
        </is>
      </c>
      <c r="C53" s="18" t="inlineStr">
        <is>
          <t>420</t>
        </is>
      </c>
      <c r="D53" s="18" t="inlineStr">
        <is>
          <t>OSIAS LACERDA FEITOSA</t>
        </is>
      </c>
      <c r="E53" s="25" t="inlineStr">
        <is>
          <t>QUADRA 54/LOTE 19</t>
        </is>
      </c>
      <c r="F53" s="38" t="inlineStr">
        <is>
          <t>INADIMPLENTE</t>
        </is>
      </c>
      <c r="G53" s="22" t="n">
        <v>486.12</v>
      </c>
      <c r="H53" s="20" t="n">
        <v>72</v>
      </c>
      <c r="I53" s="20" t="n">
        <v>18</v>
      </c>
      <c r="J53" s="21" t="n">
        <v>9741.860000000001</v>
      </c>
      <c r="K53" s="41" t="n">
        <v>2</v>
      </c>
      <c r="L53" s="22" t="n">
        <v>972.24</v>
      </c>
      <c r="M53" s="22" t="n">
        <v>113.76</v>
      </c>
      <c r="N53" s="22" t="n">
        <v>9.4</v>
      </c>
      <c r="O53" s="22" t="n">
        <v>21.72</v>
      </c>
      <c r="P53" s="22" t="n">
        <v>0</v>
      </c>
      <c r="Q53" s="21" t="n">
        <v>1117.12</v>
      </c>
      <c r="R53" s="20" t="n">
        <v>42</v>
      </c>
      <c r="S53" s="21" t="n">
        <v>22806</v>
      </c>
      <c r="T53" s="22" t="n">
        <v>33664.98</v>
      </c>
      <c r="U53" s="23" t="n">
        <v>0.289377</v>
      </c>
      <c r="V53" s="23" t="n">
        <v>0.033183</v>
      </c>
      <c r="W53" s="23" t="n">
        <v>0.67744</v>
      </c>
      <c r="X53" s="40" t="n">
        <v>25</v>
      </c>
      <c r="Y53" s="18" t="n"/>
      <c r="Z53" s="18" t="inlineStr">
        <is>
          <t>NÃO</t>
        </is>
      </c>
    </row>
    <row r="54">
      <c r="A54" s="18" t="inlineStr">
        <is>
          <t>16/CIDAN</t>
        </is>
      </c>
      <c r="B54" s="18" t="inlineStr">
        <is>
          <t>SPE - CIDADE NOVA LTDA</t>
        </is>
      </c>
      <c r="C54" s="18" t="inlineStr">
        <is>
          <t>160</t>
        </is>
      </c>
      <c r="D54" s="18" t="inlineStr">
        <is>
          <t>ANTONIA CARDOSO COSTA</t>
        </is>
      </c>
      <c r="E54" s="25" t="inlineStr">
        <is>
          <t>QUADRA 13/LOTE 05</t>
        </is>
      </c>
      <c r="F54" s="38" t="inlineStr">
        <is>
          <t>INADIMPLENTE</t>
        </is>
      </c>
      <c r="G54" s="22" t="n">
        <v>19964.92</v>
      </c>
      <c r="H54" s="20" t="n">
        <v>178</v>
      </c>
      <c r="I54" s="20" t="n">
        <v>78</v>
      </c>
      <c r="J54" s="21" t="n">
        <v>19985.14</v>
      </c>
      <c r="K54" s="42" t="n">
        <v>1</v>
      </c>
      <c r="L54" s="22" t="n">
        <v>19964.92</v>
      </c>
      <c r="M54" s="22" t="n">
        <v>0</v>
      </c>
      <c r="N54" s="22" t="n">
        <v>31019.65</v>
      </c>
      <c r="O54" s="22" t="n">
        <v>744.62</v>
      </c>
      <c r="P54" s="22" t="n">
        <v>17266.13000000001</v>
      </c>
      <c r="Q54" s="21" t="n">
        <v>68995.32000000001</v>
      </c>
      <c r="R54" s="20" t="n">
        <v>0</v>
      </c>
      <c r="S54" s="21" t="n">
        <v>0</v>
      </c>
      <c r="T54" s="22" t="n">
        <v>88980.46000000001</v>
      </c>
      <c r="U54" s="23" t="n">
        <v>0.224601</v>
      </c>
      <c r="V54" s="23" t="n">
        <v>0.7753989999999999</v>
      </c>
      <c r="W54" s="23" t="n">
        <v>0</v>
      </c>
      <c r="X54" s="40" t="n">
        <v>31</v>
      </c>
      <c r="Y54" s="18" t="n"/>
      <c r="Z54" s="18" t="inlineStr">
        <is>
          <t>NÃO</t>
        </is>
      </c>
    </row>
    <row r="55">
      <c r="A55" s="18" t="inlineStr">
        <is>
          <t>16/CIDAN</t>
        </is>
      </c>
      <c r="B55" s="18" t="inlineStr">
        <is>
          <t>SPE - CIDADE NOVA LTDA</t>
        </is>
      </c>
      <c r="C55" s="18" t="inlineStr">
        <is>
          <t>339</t>
        </is>
      </c>
      <c r="D55" s="18" t="inlineStr">
        <is>
          <t>NIVALDO SILVA CUNHA</t>
        </is>
      </c>
      <c r="E55" s="25" t="inlineStr">
        <is>
          <t>QUADRA 08/LOTE 17</t>
        </is>
      </c>
      <c r="F55" s="38" t="inlineStr">
        <is>
          <t>INADIMPLENTE</t>
        </is>
      </c>
      <c r="G55" s="22" t="n">
        <v>1000</v>
      </c>
      <c r="H55" s="20" t="n">
        <v>10</v>
      </c>
      <c r="I55" s="20" t="n">
        <v>9</v>
      </c>
      <c r="J55" s="21" t="n">
        <v>10009.28</v>
      </c>
      <c r="K55" s="42" t="n">
        <v>1</v>
      </c>
      <c r="L55" s="22" t="n">
        <v>1000</v>
      </c>
      <c r="M55" s="22" t="n">
        <v>0</v>
      </c>
      <c r="N55" s="22" t="n">
        <v>956.71</v>
      </c>
      <c r="O55" s="22" t="n">
        <v>20</v>
      </c>
      <c r="P55" s="22" t="n">
        <v>0</v>
      </c>
      <c r="Q55" s="21" t="n">
        <v>1976.71</v>
      </c>
      <c r="R55" s="20" t="n">
        <v>0</v>
      </c>
      <c r="S55" s="21" t="n">
        <v>0</v>
      </c>
      <c r="T55" s="22" t="n">
        <v>11985.99</v>
      </c>
      <c r="U55" s="23" t="n">
        <v>0.835082</v>
      </c>
      <c r="V55" s="23" t="n">
        <v>0.164918</v>
      </c>
      <c r="W55" s="23" t="n">
        <v>0</v>
      </c>
      <c r="X55" s="40" t="n">
        <v>25</v>
      </c>
      <c r="Y55" s="18" t="n"/>
      <c r="Z55" s="18" t="inlineStr">
        <is>
          <t>NÃO</t>
        </is>
      </c>
    </row>
    <row r="56">
      <c r="A56" s="18" t="inlineStr">
        <is>
          <t>16/CIDAN</t>
        </is>
      </c>
      <c r="B56" s="18" t="inlineStr">
        <is>
          <t>SPE - CIDADE NOVA LTDA</t>
        </is>
      </c>
      <c r="C56" s="18" t="inlineStr">
        <is>
          <t>354</t>
        </is>
      </c>
      <c r="D56" s="18" t="inlineStr">
        <is>
          <t>KELLY FERNANDES COSTA COMERCIO E SERVICOS EIRELI - EPP</t>
        </is>
      </c>
      <c r="E56" s="25" t="inlineStr">
        <is>
          <t>QUADRA 08/LOTE 05 PARCELA 1/1</t>
        </is>
      </c>
      <c r="F56" s="38" t="inlineStr">
        <is>
          <t>INADIMPLENTE</t>
        </is>
      </c>
      <c r="G56" s="22" t="n">
        <v>9829.200000000001</v>
      </c>
      <c r="H56" s="20" t="n">
        <v>1</v>
      </c>
      <c r="I56" s="20" t="n">
        <v>0</v>
      </c>
      <c r="J56" s="21" t="n">
        <v>0</v>
      </c>
      <c r="K56" s="42" t="n">
        <v>1</v>
      </c>
      <c r="L56" s="22" t="n">
        <v>9829.200000000001</v>
      </c>
      <c r="M56" s="22" t="n">
        <v>0</v>
      </c>
      <c r="N56" s="22" t="n">
        <v>9963.389999999999</v>
      </c>
      <c r="O56" s="22" t="n">
        <v>196.58</v>
      </c>
      <c r="P56" s="22" t="n">
        <v>-3.637978807091713e-12</v>
      </c>
      <c r="Q56" s="21" t="n">
        <v>19989.17</v>
      </c>
      <c r="R56" s="20" t="n">
        <v>0</v>
      </c>
      <c r="S56" s="21" t="n">
        <v>0</v>
      </c>
      <c r="T56" s="22" t="n">
        <v>19989.17</v>
      </c>
      <c r="U56" s="23" t="n">
        <v>0</v>
      </c>
      <c r="V56" s="23" t="n">
        <v>1</v>
      </c>
      <c r="W56" s="23" t="n">
        <v>0</v>
      </c>
      <c r="X56" s="40" t="n">
        <v>5</v>
      </c>
      <c r="Y56" s="18" t="n"/>
      <c r="Z56" s="18" t="inlineStr">
        <is>
          <t>NÃO</t>
        </is>
      </c>
    </row>
    <row r="57">
      <c r="A57" s="18" t="inlineStr">
        <is>
          <t>16/CIDAN</t>
        </is>
      </c>
      <c r="B57" s="18" t="inlineStr">
        <is>
          <t>SPE - CIDADE NOVA LTDA</t>
        </is>
      </c>
      <c r="C57" s="18" t="inlineStr">
        <is>
          <t>367</t>
        </is>
      </c>
      <c r="D57" s="18" t="inlineStr">
        <is>
          <t>MARIA APARECIDA CAMPOS DOS SANTOS</t>
        </is>
      </c>
      <c r="E57" s="25" t="inlineStr">
        <is>
          <t>QUADRA 07/LOTE 19</t>
        </is>
      </c>
      <c r="F57" s="38" t="inlineStr">
        <is>
          <t>INADIMPLENTE</t>
        </is>
      </c>
      <c r="G57" s="22" t="n">
        <v>173.38</v>
      </c>
      <c r="H57" s="20" t="n">
        <v>60</v>
      </c>
      <c r="I57" s="20" t="n">
        <v>58</v>
      </c>
      <c r="J57" s="21" t="n">
        <v>12324.02</v>
      </c>
      <c r="K57" s="42" t="n">
        <v>1</v>
      </c>
      <c r="L57" s="22" t="n">
        <v>173.38</v>
      </c>
      <c r="M57" s="22" t="n">
        <v>150.93</v>
      </c>
      <c r="N57" s="22" t="n">
        <v>228.88</v>
      </c>
      <c r="O57" s="22" t="n">
        <v>0</v>
      </c>
      <c r="P57" s="22" t="n">
        <v>150.7</v>
      </c>
      <c r="Q57" s="21" t="n">
        <v>703.89</v>
      </c>
      <c r="R57" s="20" t="n">
        <v>0</v>
      </c>
      <c r="S57" s="21" t="n">
        <v>0</v>
      </c>
      <c r="T57" s="22" t="n">
        <v>13027.91</v>
      </c>
      <c r="U57" s="23" t="n">
        <v>0.945971</v>
      </c>
      <c r="V57" s="23" t="n">
        <v>0.054029</v>
      </c>
      <c r="W57" s="23" t="n">
        <v>0</v>
      </c>
      <c r="X57" s="40" t="n">
        <v>20</v>
      </c>
      <c r="Y57" s="18" t="n"/>
      <c r="Z57" s="18" t="inlineStr">
        <is>
          <t>NÃO</t>
        </is>
      </c>
    </row>
    <row r="58">
      <c r="A58" s="18" t="inlineStr">
        <is>
          <t>16/CIDAN</t>
        </is>
      </c>
      <c r="B58" s="18" t="inlineStr">
        <is>
          <t>SPE - CIDADE NOVA LTDA</t>
        </is>
      </c>
      <c r="C58" s="18" t="inlineStr">
        <is>
          <t>369</t>
        </is>
      </c>
      <c r="D58" s="18" t="inlineStr">
        <is>
          <t>MANOEL ELIAS DA SILVA</t>
        </is>
      </c>
      <c r="E58" s="25" t="inlineStr">
        <is>
          <t>QUADRA 03/LOTE 22</t>
        </is>
      </c>
      <c r="F58" s="38" t="inlineStr">
        <is>
          <t>INADIMPLENTE</t>
        </is>
      </c>
      <c r="G58" s="22" t="n">
        <v>0.01</v>
      </c>
      <c r="H58" s="20" t="n">
        <v>36</v>
      </c>
      <c r="I58" s="20" t="n">
        <v>14</v>
      </c>
      <c r="J58" s="21" t="n">
        <v>9979.08</v>
      </c>
      <c r="K58" s="42" t="n">
        <v>1</v>
      </c>
      <c r="L58" s="22" t="n">
        <v>0.01</v>
      </c>
      <c r="M58" s="22" t="n">
        <v>0</v>
      </c>
      <c r="N58" s="22" t="n">
        <v>0</v>
      </c>
      <c r="O58" s="22" t="n">
        <v>0</v>
      </c>
      <c r="P58" s="22" t="n">
        <v>0</v>
      </c>
      <c r="Q58" s="21" t="n">
        <v>0.01</v>
      </c>
      <c r="R58" s="20" t="n">
        <v>0</v>
      </c>
      <c r="S58" s="21" t="n">
        <v>0</v>
      </c>
      <c r="T58" s="22" t="n">
        <v>9979.09</v>
      </c>
      <c r="U58" s="23" t="n">
        <v>0.999999</v>
      </c>
      <c r="V58" s="23" t="n">
        <v>1e-06</v>
      </c>
      <c r="W58" s="23" t="n">
        <v>0</v>
      </c>
      <c r="X58" s="40" t="n">
        <v>28</v>
      </c>
      <c r="Y58" s="18" t="n"/>
      <c r="Z58" s="18" t="inlineStr">
        <is>
          <t>NÃO</t>
        </is>
      </c>
    </row>
    <row r="59">
      <c r="A59" s="18" t="inlineStr">
        <is>
          <t>16/CIDAN</t>
        </is>
      </c>
      <c r="B59" s="18" t="inlineStr">
        <is>
          <t>SPE - CIDADE NOVA LTDA</t>
        </is>
      </c>
      <c r="C59" s="18" t="inlineStr">
        <is>
          <t>370</t>
        </is>
      </c>
      <c r="D59" s="18" t="inlineStr">
        <is>
          <t>MANOEL ELIAS DA SILVA</t>
        </is>
      </c>
      <c r="E59" s="25" t="inlineStr">
        <is>
          <t>QUADRA 03/LOTE 23</t>
        </is>
      </c>
      <c r="F59" s="38" t="inlineStr">
        <is>
          <t>INADIMPLENTE</t>
        </is>
      </c>
      <c r="G59" s="22" t="n">
        <v>0.01</v>
      </c>
      <c r="H59" s="20" t="n">
        <v>35</v>
      </c>
      <c r="I59" s="20" t="n">
        <v>35</v>
      </c>
      <c r="J59" s="21" t="n">
        <v>10772.25</v>
      </c>
      <c r="K59" s="42" t="n">
        <v>1</v>
      </c>
      <c r="L59" s="22" t="n">
        <v>0.01</v>
      </c>
      <c r="M59" s="22" t="n">
        <v>0</v>
      </c>
      <c r="N59" s="22" t="n">
        <v>0</v>
      </c>
      <c r="O59" s="22" t="n">
        <v>0</v>
      </c>
      <c r="P59" s="22" t="n">
        <v>0</v>
      </c>
      <c r="Q59" s="21" t="n">
        <v>0.01</v>
      </c>
      <c r="R59" s="20" t="n">
        <v>0</v>
      </c>
      <c r="S59" s="21" t="n">
        <v>0</v>
      </c>
      <c r="T59" s="22" t="n">
        <v>10772.26</v>
      </c>
      <c r="U59" s="23" t="n">
        <v>0.999999</v>
      </c>
      <c r="V59" s="23" t="n">
        <v>1e-06</v>
      </c>
      <c r="W59" s="23" t="n">
        <v>0</v>
      </c>
      <c r="X59" s="40" t="n">
        <v>28</v>
      </c>
      <c r="Y59" s="18" t="n"/>
      <c r="Z59" s="18" t="inlineStr">
        <is>
          <t>NÃO</t>
        </is>
      </c>
    </row>
    <row r="60">
      <c r="A60" s="18" t="inlineStr">
        <is>
          <t>16/CIDAN</t>
        </is>
      </c>
      <c r="B60" s="18" t="inlineStr">
        <is>
          <t>SPE - CIDADE NOVA LTDA</t>
        </is>
      </c>
      <c r="C60" s="18" t="inlineStr">
        <is>
          <t>392</t>
        </is>
      </c>
      <c r="D60" s="18" t="inlineStr">
        <is>
          <t>MANOEL ELIAS DA SILVA</t>
        </is>
      </c>
      <c r="E60" s="25" t="inlineStr">
        <is>
          <t>QUADRA 70/LOTE 20</t>
        </is>
      </c>
      <c r="F60" s="38" t="inlineStr">
        <is>
          <t>INADIMPLENTE</t>
        </is>
      </c>
      <c r="G60" s="22" t="n">
        <v>275</v>
      </c>
      <c r="H60" s="20" t="n">
        <v>120</v>
      </c>
      <c r="I60" s="20" t="n">
        <v>52</v>
      </c>
      <c r="J60" s="21" t="n">
        <v>17180.51</v>
      </c>
      <c r="K60" s="42" t="n">
        <v>1</v>
      </c>
      <c r="L60" s="22" t="n">
        <v>275</v>
      </c>
      <c r="M60" s="22" t="n">
        <v>158.22</v>
      </c>
      <c r="N60" s="22" t="n">
        <v>3.17</v>
      </c>
      <c r="O60" s="22" t="n">
        <v>8.66</v>
      </c>
      <c r="P60" s="22" t="n">
        <v>0</v>
      </c>
      <c r="Q60" s="21" t="n">
        <v>445.05</v>
      </c>
      <c r="R60" s="20" t="n">
        <v>67</v>
      </c>
      <c r="S60" s="21" t="n">
        <v>29025.74</v>
      </c>
      <c r="T60" s="22" t="n">
        <v>46651.3</v>
      </c>
      <c r="U60" s="23" t="n">
        <v>0.368275</v>
      </c>
      <c r="V60" s="23" t="n">
        <v>0.00954</v>
      </c>
      <c r="W60" s="23" t="n">
        <v>0.622185</v>
      </c>
      <c r="X60" s="40" t="n">
        <v>15</v>
      </c>
      <c r="Y60" s="18" t="n"/>
      <c r="Z60" s="18" t="inlineStr">
        <is>
          <t>NÃO</t>
        </is>
      </c>
    </row>
    <row r="61">
      <c r="A61" s="18" t="inlineStr">
        <is>
          <t>16/CIDAN</t>
        </is>
      </c>
      <c r="B61" s="18" t="inlineStr">
        <is>
          <t>SPE - CIDADE NOVA LTDA</t>
        </is>
      </c>
      <c r="C61" s="18" t="inlineStr">
        <is>
          <t>414</t>
        </is>
      </c>
      <c r="D61" s="18" t="inlineStr">
        <is>
          <t>ANTONIO LACERDA FEITOSA</t>
        </is>
      </c>
      <c r="E61" s="25" t="inlineStr">
        <is>
          <t>QUADRA 54/LOTE 20</t>
        </is>
      </c>
      <c r="F61" s="38" t="inlineStr">
        <is>
          <t>INADIMPLENTE</t>
        </is>
      </c>
      <c r="G61" s="22" t="n">
        <v>486.12</v>
      </c>
      <c r="H61" s="20" t="n">
        <v>72</v>
      </c>
      <c r="I61" s="20" t="n">
        <v>25</v>
      </c>
      <c r="J61" s="21" t="n">
        <v>12357.94</v>
      </c>
      <c r="K61" s="42" t="n">
        <v>1</v>
      </c>
      <c r="L61" s="22" t="n">
        <v>486.12</v>
      </c>
      <c r="M61" s="22" t="n">
        <v>11.71</v>
      </c>
      <c r="N61" s="22" t="n">
        <v>2.82</v>
      </c>
      <c r="O61" s="22" t="n">
        <v>9.960000000000001</v>
      </c>
      <c r="P61" s="22" t="n">
        <v>5.684341886080801e-14</v>
      </c>
      <c r="Q61" s="21" t="n">
        <v>510.61</v>
      </c>
      <c r="R61" s="20" t="n">
        <v>46</v>
      </c>
      <c r="S61" s="21" t="n">
        <v>22900.18</v>
      </c>
      <c r="T61" s="22" t="n">
        <v>35768.73</v>
      </c>
      <c r="U61" s="23" t="n">
        <v>0.345496</v>
      </c>
      <c r="V61" s="23" t="n">
        <v>0.014275</v>
      </c>
      <c r="W61" s="23" t="n">
        <v>0.640229</v>
      </c>
      <c r="X61" s="40" t="n">
        <v>20</v>
      </c>
      <c r="Y61" s="18" t="n"/>
      <c r="Z61" s="18" t="inlineStr">
        <is>
          <t>NÃO</t>
        </is>
      </c>
    </row>
    <row r="62">
      <c r="A62" s="18" t="inlineStr">
        <is>
          <t>16/CIDAN</t>
        </is>
      </c>
      <c r="B62" s="18" t="inlineStr">
        <is>
          <t>SPE - CIDADE NOVA LTDA</t>
        </is>
      </c>
      <c r="C62" s="18" t="inlineStr">
        <is>
          <t>423</t>
        </is>
      </c>
      <c r="D62" s="18" t="inlineStr">
        <is>
          <t>OSIAS LACERDA FEITOSA</t>
        </is>
      </c>
      <c r="E62" s="25" t="inlineStr">
        <is>
          <t>QUADRA 54/LOTE 21</t>
        </is>
      </c>
      <c r="F62" s="38" t="inlineStr">
        <is>
          <t>INADIMPLENTE</t>
        </is>
      </c>
      <c r="G62" s="22" t="n">
        <v>700</v>
      </c>
      <c r="H62" s="20" t="n">
        <v>50</v>
      </c>
      <c r="I62" s="20" t="n">
        <v>15</v>
      </c>
      <c r="J62" s="21" t="n">
        <v>11313.95</v>
      </c>
      <c r="K62" s="42" t="n">
        <v>1</v>
      </c>
      <c r="L62" s="22" t="n">
        <v>700</v>
      </c>
      <c r="M62" s="22" t="n">
        <v>72.88</v>
      </c>
      <c r="N62" s="22" t="n">
        <v>6.95</v>
      </c>
      <c r="O62" s="22" t="n">
        <v>15.46</v>
      </c>
      <c r="P62" s="22" t="n">
        <v>-1.13686837721616e-13</v>
      </c>
      <c r="Q62" s="21" t="n">
        <v>795.29</v>
      </c>
      <c r="R62" s="20" t="n">
        <v>24</v>
      </c>
      <c r="S62" s="21" t="n">
        <v>18549.12</v>
      </c>
      <c r="T62" s="22" t="n">
        <v>30658.36</v>
      </c>
      <c r="U62" s="23" t="n">
        <v>0.369033</v>
      </c>
      <c r="V62" s="23" t="n">
        <v>0.02594</v>
      </c>
      <c r="W62" s="23" t="n">
        <v>0.605026</v>
      </c>
      <c r="X62" s="40" t="n">
        <v>10</v>
      </c>
      <c r="Y62" s="18" t="n"/>
      <c r="Z62" s="18" t="inlineStr">
        <is>
          <t>NÃO</t>
        </is>
      </c>
    </row>
    <row r="63">
      <c r="A63" s="18" t="inlineStr">
        <is>
          <t>16/CIDAN</t>
        </is>
      </c>
      <c r="B63" s="18" t="inlineStr">
        <is>
          <t>SPE - CIDADE NOVA LTDA</t>
        </is>
      </c>
      <c r="C63" s="18" t="inlineStr">
        <is>
          <t>424</t>
        </is>
      </c>
      <c r="D63" s="18" t="inlineStr">
        <is>
          <t>TORNEADORA IMPERIO LTDA</t>
        </is>
      </c>
      <c r="E63" s="25" t="inlineStr">
        <is>
          <t>QUADRA 04/LOTE 04|QUADRA 04/LOTE 05</t>
        </is>
      </c>
      <c r="F63" s="38" t="inlineStr">
        <is>
          <t>INADIMPLENTE</t>
        </is>
      </c>
      <c r="G63" s="22" t="n">
        <v>2125</v>
      </c>
      <c r="H63" s="20" t="n">
        <v>24</v>
      </c>
      <c r="I63" s="20" t="n">
        <v>14</v>
      </c>
      <c r="J63" s="21" t="n">
        <v>46625</v>
      </c>
      <c r="K63" s="42" t="n">
        <v>1</v>
      </c>
      <c r="L63" s="22" t="n">
        <v>2125</v>
      </c>
      <c r="M63" s="22" t="n">
        <v>230.53</v>
      </c>
      <c r="N63" s="22" t="n">
        <v>0</v>
      </c>
      <c r="O63" s="22" t="n">
        <v>0</v>
      </c>
      <c r="P63" s="22" t="n">
        <v>0</v>
      </c>
      <c r="Q63" s="21" t="n">
        <v>2355.53</v>
      </c>
      <c r="R63" s="20" t="n">
        <v>10</v>
      </c>
      <c r="S63" s="21" t="n">
        <v>23555.3</v>
      </c>
      <c r="T63" s="22" t="n">
        <v>72535.83</v>
      </c>
      <c r="U63" s="23" t="n">
        <v>0.642786</v>
      </c>
      <c r="V63" s="23" t="n">
        <v>0.032474</v>
      </c>
      <c r="W63" s="23" t="n">
        <v>0.32474</v>
      </c>
      <c r="X63" s="40" t="n">
        <v>5</v>
      </c>
      <c r="Y63" s="18" t="n"/>
      <c r="Z63" s="18" t="inlineStr">
        <is>
          <t>NÃO</t>
        </is>
      </c>
    </row>
    <row r="64">
      <c r="A64" s="18" t="inlineStr">
        <is>
          <t>16/CIDAN</t>
        </is>
      </c>
      <c r="B64" s="18" t="inlineStr">
        <is>
          <t>SPE - CIDADE NOVA LTDA</t>
        </is>
      </c>
      <c r="C64" s="18" t="inlineStr">
        <is>
          <t>102</t>
        </is>
      </c>
      <c r="D64" s="18" t="inlineStr">
        <is>
          <t>ANTONIA ALVES DOS SANTOS</t>
        </is>
      </c>
      <c r="E64" s="25" t="inlineStr">
        <is>
          <t>QUADRA 06/LOTE 13</t>
        </is>
      </c>
      <c r="F64" s="43" t="inlineStr">
        <is>
          <t>QUITADO</t>
        </is>
      </c>
      <c r="G64" s="22" t="n">
        <v>0</v>
      </c>
      <c r="H64" s="20" t="n">
        <v>178</v>
      </c>
      <c r="I64" s="20" t="n">
        <v>6</v>
      </c>
      <c r="J64" s="21" t="n">
        <v>1041.66</v>
      </c>
      <c r="K64" s="44" t="n">
        <v>0</v>
      </c>
      <c r="L64" s="22" t="n">
        <v>0</v>
      </c>
      <c r="M64" s="22" t="n">
        <v>0</v>
      </c>
      <c r="N64" s="22" t="n">
        <v>0</v>
      </c>
      <c r="O64" s="22" t="n">
        <v>0</v>
      </c>
      <c r="P64" s="22" t="n">
        <v>0</v>
      </c>
      <c r="Q64" s="21" t="n">
        <v>0</v>
      </c>
      <c r="R64" s="20" t="n">
        <v>0</v>
      </c>
      <c r="S64" s="21" t="n">
        <v>0</v>
      </c>
      <c r="T64" s="22" t="n">
        <v>1041.66</v>
      </c>
      <c r="U64" s="23" t="n">
        <v>1</v>
      </c>
      <c r="V64" s="23" t="n">
        <v>0</v>
      </c>
      <c r="W64" s="23" t="n">
        <v>0</v>
      </c>
      <c r="X64" s="40" t="n"/>
      <c r="Y64" s="18" t="n"/>
      <c r="Z64" s="18" t="inlineStr">
        <is>
          <t>NÃO</t>
        </is>
      </c>
    </row>
    <row r="65">
      <c r="A65" s="18" t="inlineStr">
        <is>
          <t>16/CIDAN</t>
        </is>
      </c>
      <c r="B65" s="18" t="inlineStr">
        <is>
          <t>SPE - CIDADE NOVA LTDA</t>
        </is>
      </c>
      <c r="C65" s="18" t="inlineStr">
        <is>
          <t>103</t>
        </is>
      </c>
      <c r="D65" s="18" t="inlineStr">
        <is>
          <t>ARIANE MALANSKI WOLF</t>
        </is>
      </c>
      <c r="E65" s="25" t="inlineStr">
        <is>
          <t>QUADRA 05/LOTE 06</t>
        </is>
      </c>
      <c r="F65" s="43" t="inlineStr">
        <is>
          <t>QUITADO</t>
        </is>
      </c>
      <c r="G65" s="22" t="n">
        <v>0</v>
      </c>
      <c r="H65" s="20" t="n">
        <v>178</v>
      </c>
      <c r="I65" s="20" t="n">
        <v>5</v>
      </c>
      <c r="J65" s="21" t="n">
        <v>871.47</v>
      </c>
      <c r="K65" s="44" t="n">
        <v>0</v>
      </c>
      <c r="L65" s="22" t="n">
        <v>0</v>
      </c>
      <c r="M65" s="22" t="n">
        <v>0</v>
      </c>
      <c r="N65" s="22" t="n">
        <v>0</v>
      </c>
      <c r="O65" s="22" t="n">
        <v>0</v>
      </c>
      <c r="P65" s="22" t="n">
        <v>0</v>
      </c>
      <c r="Q65" s="21" t="n">
        <v>0</v>
      </c>
      <c r="R65" s="20" t="n">
        <v>0</v>
      </c>
      <c r="S65" s="21" t="n">
        <v>0</v>
      </c>
      <c r="T65" s="22" t="n">
        <v>871.47</v>
      </c>
      <c r="U65" s="23" t="n">
        <v>1</v>
      </c>
      <c r="V65" s="23" t="n">
        <v>0</v>
      </c>
      <c r="W65" s="23" t="n">
        <v>0</v>
      </c>
      <c r="X65" s="40" t="n"/>
      <c r="Y65" s="18" t="n"/>
      <c r="Z65" s="18" t="inlineStr">
        <is>
          <t>NÃO</t>
        </is>
      </c>
    </row>
    <row r="66">
      <c r="A66" s="18" t="inlineStr">
        <is>
          <t>16/CIDAN</t>
        </is>
      </c>
      <c r="B66" s="18" t="inlineStr">
        <is>
          <t>SPE - CIDADE NOVA LTDA</t>
        </is>
      </c>
      <c r="C66" s="18" t="inlineStr">
        <is>
          <t>109</t>
        </is>
      </c>
      <c r="D66" s="18" t="inlineStr">
        <is>
          <t>GERRI CARNEIRO FARIAS</t>
        </is>
      </c>
      <c r="E66" s="25" t="inlineStr">
        <is>
          <t>QUADRA 39/LOTE 14</t>
        </is>
      </c>
      <c r="F66" s="43" t="inlineStr">
        <is>
          <t>QUITADO</t>
        </is>
      </c>
      <c r="G66" s="22" t="n">
        <v>0</v>
      </c>
      <c r="H66" s="20" t="n">
        <v>178</v>
      </c>
      <c r="I66" s="20" t="n">
        <v>4</v>
      </c>
      <c r="J66" s="21" t="n">
        <v>1322.95</v>
      </c>
      <c r="K66" s="44" t="n">
        <v>0</v>
      </c>
      <c r="L66" s="22" t="n">
        <v>0</v>
      </c>
      <c r="M66" s="22" t="n">
        <v>0</v>
      </c>
      <c r="N66" s="22" t="n">
        <v>0</v>
      </c>
      <c r="O66" s="22" t="n">
        <v>0</v>
      </c>
      <c r="P66" s="22" t="n">
        <v>0</v>
      </c>
      <c r="Q66" s="21" t="n">
        <v>0</v>
      </c>
      <c r="R66" s="20" t="n">
        <v>0</v>
      </c>
      <c r="S66" s="21" t="n">
        <v>0</v>
      </c>
      <c r="T66" s="22" t="n">
        <v>1322.95</v>
      </c>
      <c r="U66" s="23" t="n">
        <v>1</v>
      </c>
      <c r="V66" s="23" t="n">
        <v>0</v>
      </c>
      <c r="W66" s="23" t="n">
        <v>0</v>
      </c>
      <c r="X66" s="40" t="n"/>
      <c r="Y66" s="18" t="n"/>
      <c r="Z66" s="18" t="inlineStr">
        <is>
          <t>NÃO</t>
        </is>
      </c>
    </row>
    <row r="67">
      <c r="A67" s="18" t="inlineStr">
        <is>
          <t>16/CIDAN</t>
        </is>
      </c>
      <c r="B67" s="18" t="inlineStr">
        <is>
          <t>SPE - CIDADE NOVA LTDA</t>
        </is>
      </c>
      <c r="C67" s="18" t="inlineStr">
        <is>
          <t>110</t>
        </is>
      </c>
      <c r="D67" s="18" t="inlineStr">
        <is>
          <t>ROBÉRIO SILVA CUNHA</t>
        </is>
      </c>
      <c r="E67" s="25" t="inlineStr">
        <is>
          <t>QUADRA 04/LOTE 37</t>
        </is>
      </c>
      <c r="F67" s="43" t="inlineStr">
        <is>
          <t>QUITADO</t>
        </is>
      </c>
      <c r="G67" s="22" t="n">
        <v>0</v>
      </c>
      <c r="H67" s="20" t="n">
        <v>178</v>
      </c>
      <c r="I67" s="20" t="n">
        <v>2</v>
      </c>
      <c r="J67" s="21" t="n">
        <v>347.22</v>
      </c>
      <c r="K67" s="44" t="n">
        <v>0</v>
      </c>
      <c r="L67" s="22" t="n">
        <v>0</v>
      </c>
      <c r="M67" s="22" t="n">
        <v>0</v>
      </c>
      <c r="N67" s="22" t="n">
        <v>0</v>
      </c>
      <c r="O67" s="22" t="n">
        <v>0</v>
      </c>
      <c r="P67" s="22" t="n">
        <v>0</v>
      </c>
      <c r="Q67" s="21" t="n">
        <v>0</v>
      </c>
      <c r="R67" s="20" t="n">
        <v>0</v>
      </c>
      <c r="S67" s="21" t="n">
        <v>0</v>
      </c>
      <c r="T67" s="22" t="n">
        <v>347.22</v>
      </c>
      <c r="U67" s="23" t="n">
        <v>1</v>
      </c>
      <c r="V67" s="23" t="n">
        <v>0</v>
      </c>
      <c r="W67" s="23" t="n">
        <v>0</v>
      </c>
      <c r="X67" s="40" t="n"/>
      <c r="Y67" s="18" t="n"/>
      <c r="Z67" s="18" t="inlineStr">
        <is>
          <t>NÃO</t>
        </is>
      </c>
    </row>
    <row r="68">
      <c r="A68" s="18" t="inlineStr">
        <is>
          <t>16/CIDAN</t>
        </is>
      </c>
      <c r="B68" s="18" t="inlineStr">
        <is>
          <t>SPE - CIDADE NOVA LTDA</t>
        </is>
      </c>
      <c r="C68" s="18" t="inlineStr">
        <is>
          <t>111</t>
        </is>
      </c>
      <c r="D68" s="18" t="inlineStr">
        <is>
          <t>FRANCISCO FERREIRA ROCHA</t>
        </is>
      </c>
      <c r="E68" s="25" t="inlineStr">
        <is>
          <t>QUADRA 01/LOTE 25</t>
        </is>
      </c>
      <c r="F68" s="43" t="inlineStr">
        <is>
          <t>QUITADO</t>
        </is>
      </c>
      <c r="G68" s="22" t="n">
        <v>0</v>
      </c>
      <c r="H68" s="20" t="n">
        <v>178</v>
      </c>
      <c r="I68" s="20" t="n">
        <v>15</v>
      </c>
      <c r="J68" s="21" t="n">
        <v>2639.09</v>
      </c>
      <c r="K68" s="44" t="n">
        <v>0</v>
      </c>
      <c r="L68" s="22" t="n">
        <v>0</v>
      </c>
      <c r="M68" s="22" t="n">
        <v>0</v>
      </c>
      <c r="N68" s="22" t="n">
        <v>0</v>
      </c>
      <c r="O68" s="22" t="n">
        <v>0</v>
      </c>
      <c r="P68" s="22" t="n">
        <v>0</v>
      </c>
      <c r="Q68" s="21" t="n">
        <v>0</v>
      </c>
      <c r="R68" s="20" t="n">
        <v>0</v>
      </c>
      <c r="S68" s="21" t="n">
        <v>0</v>
      </c>
      <c r="T68" s="22" t="n">
        <v>2639.09</v>
      </c>
      <c r="U68" s="23" t="n">
        <v>1</v>
      </c>
      <c r="V68" s="23" t="n">
        <v>0</v>
      </c>
      <c r="W68" s="23" t="n">
        <v>0</v>
      </c>
      <c r="X68" s="40" t="n"/>
      <c r="Y68" s="18" t="n"/>
      <c r="Z68" s="18" t="inlineStr">
        <is>
          <t>NÃO</t>
        </is>
      </c>
    </row>
    <row r="69">
      <c r="A69" s="18" t="inlineStr">
        <is>
          <t>16/CIDAN</t>
        </is>
      </c>
      <c r="B69" s="18" t="inlineStr">
        <is>
          <t>SPE - CIDADE NOVA LTDA</t>
        </is>
      </c>
      <c r="C69" s="18" t="inlineStr">
        <is>
          <t>112</t>
        </is>
      </c>
      <c r="D69" s="18" t="inlineStr">
        <is>
          <t>FRANCISCA ALCIONE GONÇALVES DOS SANTOS</t>
        </is>
      </c>
      <c r="E69" s="25" t="inlineStr">
        <is>
          <t>QUADRA 04/LOTE 05</t>
        </is>
      </c>
      <c r="F69" s="43" t="inlineStr">
        <is>
          <t>QUITADO</t>
        </is>
      </c>
      <c r="G69" s="22" t="n">
        <v>0</v>
      </c>
      <c r="H69" s="20" t="n">
        <v>178</v>
      </c>
      <c r="I69" s="20" t="n">
        <v>27</v>
      </c>
      <c r="J69" s="21" t="n">
        <v>8371.209999999999</v>
      </c>
      <c r="K69" s="44" t="n">
        <v>0</v>
      </c>
      <c r="L69" s="22" t="n">
        <v>0</v>
      </c>
      <c r="M69" s="22" t="n">
        <v>0</v>
      </c>
      <c r="N69" s="22" t="n">
        <v>0</v>
      </c>
      <c r="O69" s="22" t="n">
        <v>0</v>
      </c>
      <c r="P69" s="22" t="n">
        <v>0</v>
      </c>
      <c r="Q69" s="21" t="n">
        <v>0</v>
      </c>
      <c r="R69" s="20" t="n">
        <v>0</v>
      </c>
      <c r="S69" s="21" t="n">
        <v>0</v>
      </c>
      <c r="T69" s="22" t="n">
        <v>8371.209999999999</v>
      </c>
      <c r="U69" s="23" t="n">
        <v>1</v>
      </c>
      <c r="V69" s="23" t="n">
        <v>0</v>
      </c>
      <c r="W69" s="23" t="n">
        <v>0</v>
      </c>
      <c r="X69" s="40" t="n"/>
      <c r="Y69" s="18" t="n"/>
      <c r="Z69" s="18" t="inlineStr">
        <is>
          <t>NÃO</t>
        </is>
      </c>
    </row>
    <row r="70">
      <c r="A70" s="18" t="inlineStr">
        <is>
          <t>16/CIDAN</t>
        </is>
      </c>
      <c r="B70" s="18" t="inlineStr">
        <is>
          <t>SPE - CIDADE NOVA LTDA</t>
        </is>
      </c>
      <c r="C70" s="18" t="inlineStr">
        <is>
          <t>113</t>
        </is>
      </c>
      <c r="D70" s="18" t="inlineStr">
        <is>
          <t>DANIEL MOURA DE CASTRO</t>
        </is>
      </c>
      <c r="E70" s="25" t="inlineStr">
        <is>
          <t>QUADRA 02/LOTE 01</t>
        </is>
      </c>
      <c r="F70" s="43" t="inlineStr">
        <is>
          <t>QUITADO</t>
        </is>
      </c>
      <c r="G70" s="22" t="n">
        <v>0</v>
      </c>
      <c r="H70" s="20" t="n">
        <v>178</v>
      </c>
      <c r="I70" s="20" t="n">
        <v>5</v>
      </c>
      <c r="J70" s="21" t="n">
        <v>1529.94</v>
      </c>
      <c r="K70" s="44" t="n">
        <v>0</v>
      </c>
      <c r="L70" s="22" t="n">
        <v>0</v>
      </c>
      <c r="M70" s="22" t="n">
        <v>0</v>
      </c>
      <c r="N70" s="22" t="n">
        <v>0</v>
      </c>
      <c r="O70" s="22" t="n">
        <v>0</v>
      </c>
      <c r="P70" s="22" t="n">
        <v>0</v>
      </c>
      <c r="Q70" s="21" t="n">
        <v>0</v>
      </c>
      <c r="R70" s="20" t="n">
        <v>0</v>
      </c>
      <c r="S70" s="21" t="n">
        <v>0</v>
      </c>
      <c r="T70" s="22" t="n">
        <v>1529.94</v>
      </c>
      <c r="U70" s="23" t="n">
        <v>1</v>
      </c>
      <c r="V70" s="23" t="n">
        <v>0</v>
      </c>
      <c r="W70" s="23" t="n">
        <v>0</v>
      </c>
      <c r="X70" s="40" t="n"/>
      <c r="Y70" s="18" t="n"/>
      <c r="Z70" s="18" t="inlineStr">
        <is>
          <t>NÃO</t>
        </is>
      </c>
    </row>
    <row r="71">
      <c r="A71" s="18" t="inlineStr">
        <is>
          <t>16/CIDAN</t>
        </is>
      </c>
      <c r="B71" s="18" t="inlineStr">
        <is>
          <t>SPE - CIDADE NOVA LTDA</t>
        </is>
      </c>
      <c r="C71" s="18" t="inlineStr">
        <is>
          <t>116</t>
        </is>
      </c>
      <c r="D71" s="18" t="inlineStr">
        <is>
          <t>FRANCISCO MARCIO RODRIGUES DA SILVA</t>
        </is>
      </c>
      <c r="E71" s="25" t="inlineStr">
        <is>
          <t>QUADRA 14/LOTE 19</t>
        </is>
      </c>
      <c r="F71" s="43" t="inlineStr">
        <is>
          <t>QUITADO</t>
        </is>
      </c>
      <c r="G71" s="22" t="n">
        <v>0</v>
      </c>
      <c r="H71" s="20" t="n">
        <v>178</v>
      </c>
      <c r="I71" s="20" t="n">
        <v>2</v>
      </c>
      <c r="J71" s="21" t="n">
        <v>419.33</v>
      </c>
      <c r="K71" s="44" t="n">
        <v>0</v>
      </c>
      <c r="L71" s="22" t="n">
        <v>0</v>
      </c>
      <c r="M71" s="22" t="n">
        <v>0</v>
      </c>
      <c r="N71" s="22" t="n">
        <v>0</v>
      </c>
      <c r="O71" s="22" t="n">
        <v>0</v>
      </c>
      <c r="P71" s="22" t="n">
        <v>0</v>
      </c>
      <c r="Q71" s="21" t="n">
        <v>0</v>
      </c>
      <c r="R71" s="20" t="n">
        <v>0</v>
      </c>
      <c r="S71" s="21" t="n">
        <v>0</v>
      </c>
      <c r="T71" s="22" t="n">
        <v>419.33</v>
      </c>
      <c r="U71" s="23" t="n">
        <v>1</v>
      </c>
      <c r="V71" s="23" t="n">
        <v>0</v>
      </c>
      <c r="W71" s="23" t="n">
        <v>0</v>
      </c>
      <c r="X71" s="40" t="n"/>
      <c r="Y71" s="18" t="n"/>
      <c r="Z71" s="18" t="inlineStr">
        <is>
          <t>NÃO</t>
        </is>
      </c>
    </row>
    <row r="72">
      <c r="A72" s="18" t="inlineStr">
        <is>
          <t>16/CIDAN</t>
        </is>
      </c>
      <c r="B72" s="18" t="inlineStr">
        <is>
          <t>SPE - CIDADE NOVA LTDA</t>
        </is>
      </c>
      <c r="C72" s="18" t="inlineStr">
        <is>
          <t>118</t>
        </is>
      </c>
      <c r="D72" s="18" t="inlineStr">
        <is>
          <t>RENATO FERREIRA DA SILVA</t>
        </is>
      </c>
      <c r="E72" s="25" t="inlineStr">
        <is>
          <t>QUADRA 16/LOTE 11</t>
        </is>
      </c>
      <c r="F72" s="43" t="inlineStr">
        <is>
          <t>QUITADO</t>
        </is>
      </c>
      <c r="G72" s="22" t="n">
        <v>0</v>
      </c>
      <c r="H72" s="20" t="n">
        <v>178</v>
      </c>
      <c r="I72" s="20" t="n">
        <v>2</v>
      </c>
      <c r="J72" s="21" t="n">
        <v>416.88</v>
      </c>
      <c r="K72" s="44" t="n">
        <v>0</v>
      </c>
      <c r="L72" s="22" t="n">
        <v>0</v>
      </c>
      <c r="M72" s="22" t="n">
        <v>0</v>
      </c>
      <c r="N72" s="22" t="n">
        <v>0</v>
      </c>
      <c r="O72" s="22" t="n">
        <v>0</v>
      </c>
      <c r="P72" s="22" t="n">
        <v>0</v>
      </c>
      <c r="Q72" s="21" t="n">
        <v>0</v>
      </c>
      <c r="R72" s="20" t="n">
        <v>0</v>
      </c>
      <c r="S72" s="21" t="n">
        <v>0</v>
      </c>
      <c r="T72" s="22" t="n">
        <v>416.88</v>
      </c>
      <c r="U72" s="23" t="n">
        <v>1</v>
      </c>
      <c r="V72" s="23" t="n">
        <v>0</v>
      </c>
      <c r="W72" s="23" t="n">
        <v>0</v>
      </c>
      <c r="X72" s="40" t="n"/>
      <c r="Y72" s="18" t="n"/>
      <c r="Z72" s="18" t="inlineStr">
        <is>
          <t>NÃO</t>
        </is>
      </c>
    </row>
    <row r="73">
      <c r="A73" s="18" t="inlineStr">
        <is>
          <t>16/CIDAN</t>
        </is>
      </c>
      <c r="B73" s="18" t="inlineStr">
        <is>
          <t>SPE - CIDADE NOVA LTDA</t>
        </is>
      </c>
      <c r="C73" s="18" t="inlineStr">
        <is>
          <t>12</t>
        </is>
      </c>
      <c r="D73" s="18" t="inlineStr">
        <is>
          <t>JOSÉ FIDERALINO DE LIMA FILHO</t>
        </is>
      </c>
      <c r="E73" s="25" t="inlineStr">
        <is>
          <t>QUADRA 02/LOTE 15</t>
        </is>
      </c>
      <c r="F73" s="43" t="inlineStr">
        <is>
          <t>QUITADO</t>
        </is>
      </c>
      <c r="G73" s="22" t="n">
        <v>0</v>
      </c>
      <c r="H73" s="20" t="n">
        <v>178</v>
      </c>
      <c r="I73" s="20" t="n">
        <v>3</v>
      </c>
      <c r="J73" s="21" t="n">
        <v>900.78</v>
      </c>
      <c r="K73" s="44" t="n">
        <v>0</v>
      </c>
      <c r="L73" s="22" t="n">
        <v>0</v>
      </c>
      <c r="M73" s="22" t="n">
        <v>0</v>
      </c>
      <c r="N73" s="22" t="n">
        <v>0</v>
      </c>
      <c r="O73" s="22" t="n">
        <v>0</v>
      </c>
      <c r="P73" s="22" t="n">
        <v>0</v>
      </c>
      <c r="Q73" s="21" t="n">
        <v>0</v>
      </c>
      <c r="R73" s="20" t="n">
        <v>0</v>
      </c>
      <c r="S73" s="21" t="n">
        <v>0</v>
      </c>
      <c r="T73" s="22" t="n">
        <v>900.78</v>
      </c>
      <c r="U73" s="23" t="n">
        <v>1</v>
      </c>
      <c r="V73" s="23" t="n">
        <v>0</v>
      </c>
      <c r="W73" s="23" t="n">
        <v>0</v>
      </c>
      <c r="X73" s="40" t="n"/>
      <c r="Y73" s="18" t="n"/>
      <c r="Z73" s="18" t="inlineStr">
        <is>
          <t>NÃO</t>
        </is>
      </c>
    </row>
    <row r="74">
      <c r="A74" s="18" t="inlineStr">
        <is>
          <t>16/CIDAN</t>
        </is>
      </c>
      <c r="B74" s="18" t="inlineStr">
        <is>
          <t>SPE - CIDADE NOVA LTDA</t>
        </is>
      </c>
      <c r="C74" s="18" t="inlineStr">
        <is>
          <t>120</t>
        </is>
      </c>
      <c r="D74" s="18" t="inlineStr">
        <is>
          <t>MARCELA RODRIGUES SILVA</t>
        </is>
      </c>
      <c r="E74" s="25" t="n"/>
      <c r="F74" s="43" t="inlineStr">
        <is>
          <t>QUITADO</t>
        </is>
      </c>
      <c r="G74" s="22" t="n">
        <v>0</v>
      </c>
      <c r="H74" s="20" t="n">
        <v>178</v>
      </c>
      <c r="I74" s="20" t="n">
        <v>1</v>
      </c>
      <c r="J74" s="21" t="n">
        <v>204.65</v>
      </c>
      <c r="K74" s="44" t="n">
        <v>0</v>
      </c>
      <c r="L74" s="22" t="n">
        <v>0</v>
      </c>
      <c r="M74" s="22" t="n">
        <v>0</v>
      </c>
      <c r="N74" s="22" t="n">
        <v>0</v>
      </c>
      <c r="O74" s="22" t="n">
        <v>0</v>
      </c>
      <c r="P74" s="22" t="n">
        <v>0</v>
      </c>
      <c r="Q74" s="21" t="n">
        <v>0</v>
      </c>
      <c r="R74" s="20" t="n">
        <v>0</v>
      </c>
      <c r="S74" s="21" t="n">
        <v>0</v>
      </c>
      <c r="T74" s="22" t="n">
        <v>204.65</v>
      </c>
      <c r="U74" s="23" t="n">
        <v>1</v>
      </c>
      <c r="V74" s="23" t="n">
        <v>0</v>
      </c>
      <c r="W74" s="23" t="n">
        <v>0</v>
      </c>
      <c r="X74" s="40" t="n"/>
      <c r="Y74" s="18" t="n"/>
      <c r="Z74" s="18" t="inlineStr">
        <is>
          <t>NÃO</t>
        </is>
      </c>
    </row>
    <row r="75">
      <c r="A75" s="18" t="inlineStr">
        <is>
          <t>16/CIDAN</t>
        </is>
      </c>
      <c r="B75" s="18" t="inlineStr">
        <is>
          <t>SPE - CIDADE NOVA LTDA</t>
        </is>
      </c>
      <c r="C75" s="18" t="inlineStr">
        <is>
          <t>129</t>
        </is>
      </c>
      <c r="D75" s="18" t="inlineStr">
        <is>
          <t>JANISAURA DE JESUS ROCHA</t>
        </is>
      </c>
      <c r="E75" s="25" t="inlineStr">
        <is>
          <t>QUADRA 04/LOTE 12</t>
        </is>
      </c>
      <c r="F75" s="43" t="inlineStr">
        <is>
          <t>QUITADO</t>
        </is>
      </c>
      <c r="G75" s="22" t="n">
        <v>0</v>
      </c>
      <c r="H75" s="20" t="n">
        <v>178</v>
      </c>
      <c r="I75" s="20" t="n">
        <v>4</v>
      </c>
      <c r="J75" s="21" t="n">
        <v>1194.44</v>
      </c>
      <c r="K75" s="44" t="n">
        <v>0</v>
      </c>
      <c r="L75" s="22" t="n">
        <v>0</v>
      </c>
      <c r="M75" s="22" t="n">
        <v>0</v>
      </c>
      <c r="N75" s="22" t="n">
        <v>0</v>
      </c>
      <c r="O75" s="22" t="n">
        <v>0</v>
      </c>
      <c r="P75" s="22" t="n">
        <v>0</v>
      </c>
      <c r="Q75" s="21" t="n">
        <v>0</v>
      </c>
      <c r="R75" s="20" t="n">
        <v>0</v>
      </c>
      <c r="S75" s="21" t="n">
        <v>0</v>
      </c>
      <c r="T75" s="22" t="n">
        <v>1194.44</v>
      </c>
      <c r="U75" s="23" t="n">
        <v>1</v>
      </c>
      <c r="V75" s="23" t="n">
        <v>0</v>
      </c>
      <c r="W75" s="23" t="n">
        <v>0</v>
      </c>
      <c r="X75" s="40" t="n"/>
      <c r="Y75" s="18" t="n"/>
      <c r="Z75" s="18" t="inlineStr">
        <is>
          <t>NÃO</t>
        </is>
      </c>
    </row>
    <row r="76">
      <c r="A76" s="18" t="inlineStr">
        <is>
          <t>16/CIDAN</t>
        </is>
      </c>
      <c r="B76" s="18" t="inlineStr">
        <is>
          <t>SPE - CIDADE NOVA LTDA</t>
        </is>
      </c>
      <c r="C76" s="18" t="inlineStr">
        <is>
          <t>131</t>
        </is>
      </c>
      <c r="D76" s="18" t="inlineStr">
        <is>
          <t>JANISAURA DE JESUS ROCHA</t>
        </is>
      </c>
      <c r="E76" s="25" t="inlineStr">
        <is>
          <t>QUADRA 04/LOTE 07</t>
        </is>
      </c>
      <c r="F76" s="43" t="inlineStr">
        <is>
          <t>QUITADO</t>
        </is>
      </c>
      <c r="G76" s="22" t="n">
        <v>0</v>
      </c>
      <c r="H76" s="20" t="n">
        <v>178</v>
      </c>
      <c r="I76" s="20" t="n">
        <v>4</v>
      </c>
      <c r="J76" s="21" t="n">
        <v>1194.44</v>
      </c>
      <c r="K76" s="44" t="n">
        <v>0</v>
      </c>
      <c r="L76" s="22" t="n">
        <v>0</v>
      </c>
      <c r="M76" s="22" t="n">
        <v>0</v>
      </c>
      <c r="N76" s="22" t="n">
        <v>0</v>
      </c>
      <c r="O76" s="22" t="n">
        <v>0</v>
      </c>
      <c r="P76" s="22" t="n">
        <v>0</v>
      </c>
      <c r="Q76" s="21" t="n">
        <v>0</v>
      </c>
      <c r="R76" s="20" t="n">
        <v>0</v>
      </c>
      <c r="S76" s="21" t="n">
        <v>0</v>
      </c>
      <c r="T76" s="22" t="n">
        <v>1194.44</v>
      </c>
      <c r="U76" s="23" t="n">
        <v>1</v>
      </c>
      <c r="V76" s="23" t="n">
        <v>0</v>
      </c>
      <c r="W76" s="23" t="n">
        <v>0</v>
      </c>
      <c r="X76" s="40" t="n"/>
      <c r="Y76" s="18" t="n"/>
      <c r="Z76" s="18" t="inlineStr">
        <is>
          <t>NÃO</t>
        </is>
      </c>
    </row>
    <row r="77">
      <c r="A77" s="18" t="inlineStr">
        <is>
          <t>16/CIDAN</t>
        </is>
      </c>
      <c r="B77" s="18" t="inlineStr">
        <is>
          <t>SPE - CIDADE NOVA LTDA</t>
        </is>
      </c>
      <c r="C77" s="18" t="inlineStr">
        <is>
          <t>132</t>
        </is>
      </c>
      <c r="D77" s="18" t="inlineStr">
        <is>
          <t>JANISAURA DE JESUS ROCHA</t>
        </is>
      </c>
      <c r="E77" s="25" t="inlineStr">
        <is>
          <t>QUADRA 04/LOTE 03</t>
        </is>
      </c>
      <c r="F77" s="43" t="inlineStr">
        <is>
          <t>QUITADO</t>
        </is>
      </c>
      <c r="G77" s="22" t="n">
        <v>0</v>
      </c>
      <c r="H77" s="20" t="n">
        <v>178</v>
      </c>
      <c r="I77" s="20" t="n">
        <v>4</v>
      </c>
      <c r="J77" s="21" t="n">
        <v>1194.44</v>
      </c>
      <c r="K77" s="44" t="n">
        <v>0</v>
      </c>
      <c r="L77" s="22" t="n">
        <v>0</v>
      </c>
      <c r="M77" s="22" t="n">
        <v>0</v>
      </c>
      <c r="N77" s="22" t="n">
        <v>0</v>
      </c>
      <c r="O77" s="22" t="n">
        <v>0</v>
      </c>
      <c r="P77" s="22" t="n">
        <v>0</v>
      </c>
      <c r="Q77" s="21" t="n">
        <v>0</v>
      </c>
      <c r="R77" s="20" t="n">
        <v>0</v>
      </c>
      <c r="S77" s="21" t="n">
        <v>0</v>
      </c>
      <c r="T77" s="22" t="n">
        <v>1194.44</v>
      </c>
      <c r="U77" s="23" t="n">
        <v>1</v>
      </c>
      <c r="V77" s="23" t="n">
        <v>0</v>
      </c>
      <c r="W77" s="23" t="n">
        <v>0</v>
      </c>
      <c r="X77" s="40" t="n"/>
      <c r="Y77" s="18" t="n"/>
      <c r="Z77" s="18" t="inlineStr">
        <is>
          <t>NÃO</t>
        </is>
      </c>
    </row>
    <row r="78">
      <c r="A78" s="18" t="inlineStr">
        <is>
          <t>16/CIDAN</t>
        </is>
      </c>
      <c r="B78" s="18" t="inlineStr">
        <is>
          <t>SPE - CIDADE NOVA LTDA</t>
        </is>
      </c>
      <c r="C78" s="18" t="inlineStr">
        <is>
          <t>133</t>
        </is>
      </c>
      <c r="D78" s="18" t="inlineStr">
        <is>
          <t>JANISAURA DE JESUS ROCHA</t>
        </is>
      </c>
      <c r="E78" s="25" t="inlineStr">
        <is>
          <t>QUADRA 04/LOTE 06</t>
        </is>
      </c>
      <c r="F78" s="43" t="inlineStr">
        <is>
          <t>QUITADO</t>
        </is>
      </c>
      <c r="G78" s="22" t="n">
        <v>0</v>
      </c>
      <c r="H78" s="20" t="n">
        <v>178</v>
      </c>
      <c r="I78" s="20" t="n">
        <v>4</v>
      </c>
      <c r="J78" s="21" t="n">
        <v>1194.44</v>
      </c>
      <c r="K78" s="44" t="n">
        <v>0</v>
      </c>
      <c r="L78" s="22" t="n">
        <v>0</v>
      </c>
      <c r="M78" s="22" t="n">
        <v>0</v>
      </c>
      <c r="N78" s="22" t="n">
        <v>0</v>
      </c>
      <c r="O78" s="22" t="n">
        <v>0</v>
      </c>
      <c r="P78" s="22" t="n">
        <v>0</v>
      </c>
      <c r="Q78" s="21" t="n">
        <v>0</v>
      </c>
      <c r="R78" s="20" t="n">
        <v>0</v>
      </c>
      <c r="S78" s="21" t="n">
        <v>0</v>
      </c>
      <c r="T78" s="22" t="n">
        <v>1194.44</v>
      </c>
      <c r="U78" s="23" t="n">
        <v>1</v>
      </c>
      <c r="V78" s="23" t="n">
        <v>0</v>
      </c>
      <c r="W78" s="23" t="n">
        <v>0</v>
      </c>
      <c r="X78" s="40" t="n"/>
      <c r="Y78" s="18" t="n"/>
      <c r="Z78" s="18" t="inlineStr">
        <is>
          <t>NÃO</t>
        </is>
      </c>
    </row>
    <row r="79">
      <c r="A79" s="18" t="inlineStr">
        <is>
          <t>16/CIDAN</t>
        </is>
      </c>
      <c r="B79" s="18" t="inlineStr">
        <is>
          <t>SPE - CIDADE NOVA LTDA</t>
        </is>
      </c>
      <c r="C79" s="18" t="inlineStr">
        <is>
          <t>134</t>
        </is>
      </c>
      <c r="D79" s="18" t="inlineStr">
        <is>
          <t>JANISAURA DE JESUS ROCHA</t>
        </is>
      </c>
      <c r="E79" s="25" t="inlineStr">
        <is>
          <t>QUADRA 04/LOTE 01</t>
        </is>
      </c>
      <c r="F79" s="43" t="inlineStr">
        <is>
          <t>QUITADO</t>
        </is>
      </c>
      <c r="G79" s="22" t="n">
        <v>0</v>
      </c>
      <c r="H79" s="20" t="n">
        <v>178</v>
      </c>
      <c r="I79" s="20" t="n">
        <v>4</v>
      </c>
      <c r="J79" s="21" t="n">
        <v>1172.96</v>
      </c>
      <c r="K79" s="44" t="n">
        <v>0</v>
      </c>
      <c r="L79" s="22" t="n">
        <v>0</v>
      </c>
      <c r="M79" s="22" t="n">
        <v>0</v>
      </c>
      <c r="N79" s="22" t="n">
        <v>0</v>
      </c>
      <c r="O79" s="22" t="n">
        <v>0</v>
      </c>
      <c r="P79" s="22" t="n">
        <v>0</v>
      </c>
      <c r="Q79" s="21" t="n">
        <v>0</v>
      </c>
      <c r="R79" s="20" t="n">
        <v>0</v>
      </c>
      <c r="S79" s="21" t="n">
        <v>0</v>
      </c>
      <c r="T79" s="22" t="n">
        <v>1172.96</v>
      </c>
      <c r="U79" s="23" t="n">
        <v>1</v>
      </c>
      <c r="V79" s="23" t="n">
        <v>0</v>
      </c>
      <c r="W79" s="23" t="n">
        <v>0</v>
      </c>
      <c r="X79" s="40" t="n"/>
      <c r="Y79" s="18" t="n"/>
      <c r="Z79" s="18" t="inlineStr">
        <is>
          <t>NÃO</t>
        </is>
      </c>
    </row>
    <row r="80">
      <c r="A80" s="18" t="inlineStr">
        <is>
          <t>16/CIDAN</t>
        </is>
      </c>
      <c r="B80" s="18" t="inlineStr">
        <is>
          <t>SPE - CIDADE NOVA LTDA</t>
        </is>
      </c>
      <c r="C80" s="18" t="inlineStr">
        <is>
          <t>135</t>
        </is>
      </c>
      <c r="D80" s="18" t="inlineStr">
        <is>
          <t>JANISAURA DE JESUS ROCHA</t>
        </is>
      </c>
      <c r="E80" s="25" t="inlineStr">
        <is>
          <t>QUADRA 04/LOTE 02</t>
        </is>
      </c>
      <c r="F80" s="43" t="inlineStr">
        <is>
          <t>QUITADO</t>
        </is>
      </c>
      <c r="G80" s="22" t="n">
        <v>0</v>
      </c>
      <c r="H80" s="20" t="n">
        <v>178</v>
      </c>
      <c r="I80" s="20" t="n">
        <v>4</v>
      </c>
      <c r="J80" s="21" t="n">
        <v>1194.44</v>
      </c>
      <c r="K80" s="44" t="n">
        <v>0</v>
      </c>
      <c r="L80" s="22" t="n">
        <v>0</v>
      </c>
      <c r="M80" s="22" t="n">
        <v>0</v>
      </c>
      <c r="N80" s="22" t="n">
        <v>0</v>
      </c>
      <c r="O80" s="22" t="n">
        <v>0</v>
      </c>
      <c r="P80" s="22" t="n">
        <v>0</v>
      </c>
      <c r="Q80" s="21" t="n">
        <v>0</v>
      </c>
      <c r="R80" s="20" t="n">
        <v>0</v>
      </c>
      <c r="S80" s="21" t="n">
        <v>0</v>
      </c>
      <c r="T80" s="22" t="n">
        <v>1194.44</v>
      </c>
      <c r="U80" s="23" t="n">
        <v>1</v>
      </c>
      <c r="V80" s="23" t="n">
        <v>0</v>
      </c>
      <c r="W80" s="23" t="n">
        <v>0</v>
      </c>
      <c r="X80" s="40" t="n"/>
      <c r="Y80" s="18" t="n"/>
      <c r="Z80" s="18" t="inlineStr">
        <is>
          <t>NÃO</t>
        </is>
      </c>
    </row>
    <row r="81">
      <c r="A81" s="18" t="inlineStr">
        <is>
          <t>16/CIDAN</t>
        </is>
      </c>
      <c r="B81" s="18" t="inlineStr">
        <is>
          <t>SPE - CIDADE NOVA LTDA</t>
        </is>
      </c>
      <c r="C81" s="18" t="inlineStr">
        <is>
          <t>136</t>
        </is>
      </c>
      <c r="D81" s="18" t="inlineStr">
        <is>
          <t>NOEL RIBEIRO DOS SANTOS</t>
        </is>
      </c>
      <c r="E81" s="25" t="inlineStr">
        <is>
          <t>QUADRA 04/LOTE 08</t>
        </is>
      </c>
      <c r="F81" s="43" t="inlineStr">
        <is>
          <t>QUITADO</t>
        </is>
      </c>
      <c r="G81" s="22" t="n">
        <v>0</v>
      </c>
      <c r="H81" s="20" t="n">
        <v>178</v>
      </c>
      <c r="I81" s="20" t="n">
        <v>12</v>
      </c>
      <c r="J81" s="21" t="n">
        <v>3620.16</v>
      </c>
      <c r="K81" s="44" t="n">
        <v>0</v>
      </c>
      <c r="L81" s="22" t="n">
        <v>0</v>
      </c>
      <c r="M81" s="22" t="n">
        <v>0</v>
      </c>
      <c r="N81" s="22" t="n">
        <v>0</v>
      </c>
      <c r="O81" s="22" t="n">
        <v>0</v>
      </c>
      <c r="P81" s="22" t="n">
        <v>0</v>
      </c>
      <c r="Q81" s="21" t="n">
        <v>0</v>
      </c>
      <c r="R81" s="20" t="n">
        <v>0</v>
      </c>
      <c r="S81" s="21" t="n">
        <v>0</v>
      </c>
      <c r="T81" s="22" t="n">
        <v>3620.16</v>
      </c>
      <c r="U81" s="23" t="n">
        <v>1</v>
      </c>
      <c r="V81" s="23" t="n">
        <v>0</v>
      </c>
      <c r="W81" s="23" t="n">
        <v>0</v>
      </c>
      <c r="X81" s="40" t="n"/>
      <c r="Y81" s="18" t="n"/>
      <c r="Z81" s="18" t="inlineStr">
        <is>
          <t>NÃO</t>
        </is>
      </c>
    </row>
    <row r="82">
      <c r="A82" s="18" t="inlineStr">
        <is>
          <t>16/CIDAN</t>
        </is>
      </c>
      <c r="B82" s="18" t="inlineStr">
        <is>
          <t>SPE - CIDADE NOVA LTDA</t>
        </is>
      </c>
      <c r="C82" s="18" t="inlineStr">
        <is>
          <t>137</t>
        </is>
      </c>
      <c r="D82" s="18" t="inlineStr">
        <is>
          <t>NOEL RIBEIRO DOS SANTOS</t>
        </is>
      </c>
      <c r="E82" s="25" t="inlineStr">
        <is>
          <t>QUADRA 04/LOTE 09</t>
        </is>
      </c>
      <c r="F82" s="43" t="inlineStr">
        <is>
          <t>QUITADO</t>
        </is>
      </c>
      <c r="G82" s="22" t="n">
        <v>0</v>
      </c>
      <c r="H82" s="20" t="n">
        <v>178</v>
      </c>
      <c r="I82" s="20" t="n">
        <v>11</v>
      </c>
      <c r="J82" s="21" t="n">
        <v>3321.55</v>
      </c>
      <c r="K82" s="44" t="n">
        <v>0</v>
      </c>
      <c r="L82" s="22" t="n">
        <v>0</v>
      </c>
      <c r="M82" s="22" t="n">
        <v>0</v>
      </c>
      <c r="N82" s="22" t="n">
        <v>0</v>
      </c>
      <c r="O82" s="22" t="n">
        <v>0</v>
      </c>
      <c r="P82" s="22" t="n">
        <v>0</v>
      </c>
      <c r="Q82" s="21" t="n">
        <v>0</v>
      </c>
      <c r="R82" s="20" t="n">
        <v>0</v>
      </c>
      <c r="S82" s="21" t="n">
        <v>0</v>
      </c>
      <c r="T82" s="22" t="n">
        <v>3321.55</v>
      </c>
      <c r="U82" s="23" t="n">
        <v>1</v>
      </c>
      <c r="V82" s="23" t="n">
        <v>0</v>
      </c>
      <c r="W82" s="23" t="n">
        <v>0</v>
      </c>
      <c r="X82" s="40" t="n"/>
      <c r="Y82" s="18" t="n"/>
      <c r="Z82" s="18" t="inlineStr">
        <is>
          <t>NÃO</t>
        </is>
      </c>
    </row>
    <row r="83">
      <c r="A83" s="18" t="inlineStr">
        <is>
          <t>16/CIDAN</t>
        </is>
      </c>
      <c r="B83" s="18" t="inlineStr">
        <is>
          <t>SPE - CIDADE NOVA LTDA</t>
        </is>
      </c>
      <c r="C83" s="18" t="inlineStr">
        <is>
          <t>138</t>
        </is>
      </c>
      <c r="D83" s="18" t="inlineStr">
        <is>
          <t>JOSE ELAYRTON MEDEIROS LEITE</t>
        </is>
      </c>
      <c r="E83" s="25" t="inlineStr">
        <is>
          <t>QUADRA 16/LOTE 16</t>
        </is>
      </c>
      <c r="F83" s="43" t="inlineStr">
        <is>
          <t>QUITADO</t>
        </is>
      </c>
      <c r="G83" s="22" t="n">
        <v>0</v>
      </c>
      <c r="H83" s="20" t="n">
        <v>178</v>
      </c>
      <c r="I83" s="20" t="n">
        <v>5</v>
      </c>
      <c r="J83" s="21" t="n">
        <v>753.89</v>
      </c>
      <c r="K83" s="44" t="n">
        <v>0</v>
      </c>
      <c r="L83" s="22" t="n">
        <v>0</v>
      </c>
      <c r="M83" s="22" t="n">
        <v>0</v>
      </c>
      <c r="N83" s="22" t="n">
        <v>0</v>
      </c>
      <c r="O83" s="22" t="n">
        <v>0</v>
      </c>
      <c r="P83" s="22" t="n">
        <v>0</v>
      </c>
      <c r="Q83" s="21" t="n">
        <v>0</v>
      </c>
      <c r="R83" s="20" t="n">
        <v>0</v>
      </c>
      <c r="S83" s="21" t="n">
        <v>0</v>
      </c>
      <c r="T83" s="22" t="n">
        <v>753.89</v>
      </c>
      <c r="U83" s="23" t="n">
        <v>1</v>
      </c>
      <c r="V83" s="23" t="n">
        <v>0</v>
      </c>
      <c r="W83" s="23" t="n">
        <v>0</v>
      </c>
      <c r="X83" s="40" t="n"/>
      <c r="Y83" s="18" t="n"/>
      <c r="Z83" s="18" t="inlineStr">
        <is>
          <t>NÃO</t>
        </is>
      </c>
    </row>
    <row r="84">
      <c r="A84" s="18" t="inlineStr">
        <is>
          <t>16/CIDAN</t>
        </is>
      </c>
      <c r="B84" s="18" t="inlineStr">
        <is>
          <t>SPE - CIDADE NOVA LTDA</t>
        </is>
      </c>
      <c r="C84" s="18" t="inlineStr">
        <is>
          <t>139</t>
        </is>
      </c>
      <c r="D84" s="18" t="inlineStr">
        <is>
          <t>JOSE ELAYRTON MEDEIROS LEITE</t>
        </is>
      </c>
      <c r="E84" s="25" t="inlineStr">
        <is>
          <t>QUADRA 16/LOTE 15</t>
        </is>
      </c>
      <c r="F84" s="43" t="inlineStr">
        <is>
          <t>QUITADO</t>
        </is>
      </c>
      <c r="G84" s="22" t="n">
        <v>0</v>
      </c>
      <c r="H84" s="20" t="n">
        <v>178</v>
      </c>
      <c r="I84" s="20" t="n">
        <v>5</v>
      </c>
      <c r="J84" s="21" t="n">
        <v>753.89</v>
      </c>
      <c r="K84" s="44" t="n">
        <v>0</v>
      </c>
      <c r="L84" s="22" t="n">
        <v>0</v>
      </c>
      <c r="M84" s="22" t="n">
        <v>0</v>
      </c>
      <c r="N84" s="22" t="n">
        <v>0</v>
      </c>
      <c r="O84" s="22" t="n">
        <v>0</v>
      </c>
      <c r="P84" s="22" t="n">
        <v>0</v>
      </c>
      <c r="Q84" s="21" t="n">
        <v>0</v>
      </c>
      <c r="R84" s="20" t="n">
        <v>0</v>
      </c>
      <c r="S84" s="21" t="n">
        <v>0</v>
      </c>
      <c r="T84" s="22" t="n">
        <v>753.89</v>
      </c>
      <c r="U84" s="23" t="n">
        <v>1</v>
      </c>
      <c r="V84" s="23" t="n">
        <v>0</v>
      </c>
      <c r="W84" s="23" t="n">
        <v>0</v>
      </c>
      <c r="X84" s="40" t="n"/>
      <c r="Y84" s="18" t="n"/>
      <c r="Z84" s="18" t="inlineStr">
        <is>
          <t>NÃO</t>
        </is>
      </c>
    </row>
    <row r="85">
      <c r="A85" s="18" t="inlineStr">
        <is>
          <t>16/CIDAN</t>
        </is>
      </c>
      <c r="B85" s="18" t="inlineStr">
        <is>
          <t>SPE - CIDADE NOVA LTDA</t>
        </is>
      </c>
      <c r="C85" s="18" t="inlineStr">
        <is>
          <t>14</t>
        </is>
      </c>
      <c r="D85" s="18" t="inlineStr">
        <is>
          <t>OCILEY ALVES DA SILVA</t>
        </is>
      </c>
      <c r="E85" s="25" t="inlineStr">
        <is>
          <t>QUADRA 03/LOTE 16</t>
        </is>
      </c>
      <c r="F85" s="43" t="inlineStr">
        <is>
          <t>QUITADO</t>
        </is>
      </c>
      <c r="G85" s="22" t="n">
        <v>0</v>
      </c>
      <c r="H85" s="20" t="n">
        <v>178</v>
      </c>
      <c r="I85" s="20" t="n">
        <v>7</v>
      </c>
      <c r="J85" s="21" t="n">
        <v>2215.77</v>
      </c>
      <c r="K85" s="44" t="n">
        <v>0</v>
      </c>
      <c r="L85" s="22" t="n">
        <v>0</v>
      </c>
      <c r="M85" s="22" t="n">
        <v>0</v>
      </c>
      <c r="N85" s="22" t="n">
        <v>0</v>
      </c>
      <c r="O85" s="22" t="n">
        <v>0</v>
      </c>
      <c r="P85" s="22" t="n">
        <v>0</v>
      </c>
      <c r="Q85" s="21" t="n">
        <v>0</v>
      </c>
      <c r="R85" s="20" t="n">
        <v>0</v>
      </c>
      <c r="S85" s="21" t="n">
        <v>0</v>
      </c>
      <c r="T85" s="22" t="n">
        <v>2215.77</v>
      </c>
      <c r="U85" s="23" t="n">
        <v>1</v>
      </c>
      <c r="V85" s="23" t="n">
        <v>0</v>
      </c>
      <c r="W85" s="23" t="n">
        <v>0</v>
      </c>
      <c r="X85" s="40" t="n"/>
      <c r="Y85" s="18" t="n"/>
      <c r="Z85" s="18" t="inlineStr">
        <is>
          <t>NÃO</t>
        </is>
      </c>
    </row>
    <row r="86">
      <c r="A86" s="18" t="inlineStr">
        <is>
          <t>16/CIDAN</t>
        </is>
      </c>
      <c r="B86" s="18" t="inlineStr">
        <is>
          <t>SPE - CIDADE NOVA LTDA</t>
        </is>
      </c>
      <c r="C86" s="18" t="inlineStr">
        <is>
          <t>144</t>
        </is>
      </c>
      <c r="D86" s="18" t="inlineStr">
        <is>
          <t>MARIA DE JESUS FREITAS AQUINO</t>
        </is>
      </c>
      <c r="E86" s="25" t="inlineStr">
        <is>
          <t>QUADRA 08/LOTE 15</t>
        </is>
      </c>
      <c r="F86" s="43" t="inlineStr">
        <is>
          <t>QUITADO</t>
        </is>
      </c>
      <c r="G86" s="22" t="n">
        <v>0</v>
      </c>
      <c r="H86" s="20" t="n">
        <v>178</v>
      </c>
      <c r="I86" s="20" t="n">
        <v>6</v>
      </c>
      <c r="J86" s="21" t="n">
        <v>1096.35</v>
      </c>
      <c r="K86" s="44" t="n">
        <v>0</v>
      </c>
      <c r="L86" s="22" t="n">
        <v>0</v>
      </c>
      <c r="M86" s="22" t="n">
        <v>0</v>
      </c>
      <c r="N86" s="22" t="n">
        <v>0</v>
      </c>
      <c r="O86" s="22" t="n">
        <v>0</v>
      </c>
      <c r="P86" s="22" t="n">
        <v>0</v>
      </c>
      <c r="Q86" s="21" t="n">
        <v>0</v>
      </c>
      <c r="R86" s="20" t="n">
        <v>0</v>
      </c>
      <c r="S86" s="21" t="n">
        <v>0</v>
      </c>
      <c r="T86" s="22" t="n">
        <v>1096.35</v>
      </c>
      <c r="U86" s="23" t="n">
        <v>1</v>
      </c>
      <c r="V86" s="23" t="n">
        <v>0</v>
      </c>
      <c r="W86" s="23" t="n">
        <v>0</v>
      </c>
      <c r="X86" s="40" t="n"/>
      <c r="Y86" s="18" t="n"/>
      <c r="Z86" s="18" t="inlineStr">
        <is>
          <t>NÃO</t>
        </is>
      </c>
    </row>
    <row r="87">
      <c r="A87" s="18" t="inlineStr">
        <is>
          <t>16/CIDAN</t>
        </is>
      </c>
      <c r="B87" s="18" t="inlineStr">
        <is>
          <t>SPE - CIDADE NOVA LTDA</t>
        </is>
      </c>
      <c r="C87" s="18" t="inlineStr">
        <is>
          <t>145</t>
        </is>
      </c>
      <c r="D87" s="18" t="inlineStr">
        <is>
          <t>MARIA EDMILSA RODRIGUES SILVA</t>
        </is>
      </c>
      <c r="E87" s="25" t="inlineStr">
        <is>
          <t>QUADRA 10/LOTE 17</t>
        </is>
      </c>
      <c r="F87" s="43" t="inlineStr">
        <is>
          <t>QUITADO</t>
        </is>
      </c>
      <c r="G87" s="22" t="n">
        <v>0</v>
      </c>
      <c r="H87" s="20" t="n">
        <v>178</v>
      </c>
      <c r="I87" s="20" t="n">
        <v>4</v>
      </c>
      <c r="J87" s="21" t="n">
        <v>722.4</v>
      </c>
      <c r="K87" s="44" t="n">
        <v>0</v>
      </c>
      <c r="L87" s="22" t="n">
        <v>0</v>
      </c>
      <c r="M87" s="22" t="n">
        <v>0</v>
      </c>
      <c r="N87" s="22" t="n">
        <v>0</v>
      </c>
      <c r="O87" s="22" t="n">
        <v>0</v>
      </c>
      <c r="P87" s="22" t="n">
        <v>0</v>
      </c>
      <c r="Q87" s="21" t="n">
        <v>0</v>
      </c>
      <c r="R87" s="20" t="n">
        <v>0</v>
      </c>
      <c r="S87" s="21" t="n">
        <v>0</v>
      </c>
      <c r="T87" s="22" t="n">
        <v>722.4</v>
      </c>
      <c r="U87" s="23" t="n">
        <v>1</v>
      </c>
      <c r="V87" s="23" t="n">
        <v>0</v>
      </c>
      <c r="W87" s="23" t="n">
        <v>0</v>
      </c>
      <c r="X87" s="40" t="n"/>
      <c r="Y87" s="18" t="n"/>
      <c r="Z87" s="18" t="inlineStr">
        <is>
          <t>NÃO</t>
        </is>
      </c>
    </row>
    <row r="88">
      <c r="A88" s="18" t="inlineStr">
        <is>
          <t>16/CIDAN</t>
        </is>
      </c>
      <c r="B88" s="18" t="inlineStr">
        <is>
          <t>SPE - CIDADE NOVA LTDA</t>
        </is>
      </c>
      <c r="C88" s="18" t="inlineStr">
        <is>
          <t>146</t>
        </is>
      </c>
      <c r="D88" s="18" t="inlineStr">
        <is>
          <t>MIRIAM CAMILO DE MELO</t>
        </is>
      </c>
      <c r="E88" s="25" t="inlineStr">
        <is>
          <t>QUADRA 27/LOTE 05</t>
        </is>
      </c>
      <c r="F88" s="43" t="inlineStr">
        <is>
          <t>QUITADO</t>
        </is>
      </c>
      <c r="G88" s="22" t="n">
        <v>0</v>
      </c>
      <c r="H88" s="20" t="n">
        <v>178</v>
      </c>
      <c r="I88" s="20" t="n">
        <v>2</v>
      </c>
      <c r="J88" s="21" t="n">
        <v>395.54</v>
      </c>
      <c r="K88" s="44" t="n">
        <v>0</v>
      </c>
      <c r="L88" s="22" t="n">
        <v>0</v>
      </c>
      <c r="M88" s="22" t="n">
        <v>0</v>
      </c>
      <c r="N88" s="22" t="n">
        <v>0</v>
      </c>
      <c r="O88" s="22" t="n">
        <v>0</v>
      </c>
      <c r="P88" s="22" t="n">
        <v>0</v>
      </c>
      <c r="Q88" s="21" t="n">
        <v>0</v>
      </c>
      <c r="R88" s="20" t="n">
        <v>0</v>
      </c>
      <c r="S88" s="21" t="n">
        <v>0</v>
      </c>
      <c r="T88" s="22" t="n">
        <v>395.54</v>
      </c>
      <c r="U88" s="23" t="n">
        <v>1</v>
      </c>
      <c r="V88" s="23" t="n">
        <v>0</v>
      </c>
      <c r="W88" s="23" t="n">
        <v>0</v>
      </c>
      <c r="X88" s="40" t="n"/>
      <c r="Y88" s="18" t="n"/>
      <c r="Z88" s="18" t="inlineStr">
        <is>
          <t>NÃO</t>
        </is>
      </c>
    </row>
    <row r="89">
      <c r="A89" s="18" t="inlineStr">
        <is>
          <t>16/CIDAN</t>
        </is>
      </c>
      <c r="B89" s="18" t="inlineStr">
        <is>
          <t>SPE - CIDADE NOVA LTDA</t>
        </is>
      </c>
      <c r="C89" s="18" t="inlineStr">
        <is>
          <t>147</t>
        </is>
      </c>
      <c r="D89" s="18" t="inlineStr">
        <is>
          <t>JOSE ADAILTON RODRIGUES SILVA</t>
        </is>
      </c>
      <c r="E89" s="25" t="inlineStr">
        <is>
          <t>QUADRA 10/LOTE 16</t>
        </is>
      </c>
      <c r="F89" s="43" t="inlineStr">
        <is>
          <t>QUITADO</t>
        </is>
      </c>
      <c r="G89" s="22" t="n">
        <v>0</v>
      </c>
      <c r="H89" s="20" t="n">
        <v>178</v>
      </c>
      <c r="I89" s="20" t="n">
        <v>4</v>
      </c>
      <c r="J89" s="21" t="n">
        <v>709.92</v>
      </c>
      <c r="K89" s="44" t="n">
        <v>0</v>
      </c>
      <c r="L89" s="22" t="n">
        <v>0</v>
      </c>
      <c r="M89" s="22" t="n">
        <v>0</v>
      </c>
      <c r="N89" s="22" t="n">
        <v>0</v>
      </c>
      <c r="O89" s="22" t="n">
        <v>0</v>
      </c>
      <c r="P89" s="22" t="n">
        <v>0</v>
      </c>
      <c r="Q89" s="21" t="n">
        <v>0</v>
      </c>
      <c r="R89" s="20" t="n">
        <v>0</v>
      </c>
      <c r="S89" s="21" t="n">
        <v>0</v>
      </c>
      <c r="T89" s="22" t="n">
        <v>709.92</v>
      </c>
      <c r="U89" s="23" t="n">
        <v>1</v>
      </c>
      <c r="V89" s="23" t="n">
        <v>0</v>
      </c>
      <c r="W89" s="23" t="n">
        <v>0</v>
      </c>
      <c r="X89" s="40" t="n"/>
      <c r="Y89" s="18" t="n"/>
      <c r="Z89" s="18" t="inlineStr">
        <is>
          <t>NÃO</t>
        </is>
      </c>
    </row>
    <row r="90">
      <c r="A90" s="18" t="inlineStr">
        <is>
          <t>16/CIDAN</t>
        </is>
      </c>
      <c r="B90" s="18" t="inlineStr">
        <is>
          <t>SPE - CIDADE NOVA LTDA</t>
        </is>
      </c>
      <c r="C90" s="18" t="inlineStr">
        <is>
          <t>153</t>
        </is>
      </c>
      <c r="D90" s="18" t="inlineStr">
        <is>
          <t>FRANCISCA ALCIONE GONÇALVES DOS SANTOS</t>
        </is>
      </c>
      <c r="E90" s="25" t="inlineStr">
        <is>
          <t>QUADRA 04/LOTE 04</t>
        </is>
      </c>
      <c r="F90" s="43" t="inlineStr">
        <is>
          <t>QUITADO</t>
        </is>
      </c>
      <c r="G90" s="22" t="n">
        <v>0</v>
      </c>
      <c r="H90" s="20" t="n">
        <v>178</v>
      </c>
      <c r="I90" s="20" t="n">
        <v>28</v>
      </c>
      <c r="J90" s="21" t="n">
        <v>8879</v>
      </c>
      <c r="K90" s="44" t="n">
        <v>0</v>
      </c>
      <c r="L90" s="22" t="n">
        <v>0</v>
      </c>
      <c r="M90" s="22" t="n">
        <v>0</v>
      </c>
      <c r="N90" s="22" t="n">
        <v>0</v>
      </c>
      <c r="O90" s="22" t="n">
        <v>0</v>
      </c>
      <c r="P90" s="22" t="n">
        <v>0</v>
      </c>
      <c r="Q90" s="21" t="n">
        <v>0</v>
      </c>
      <c r="R90" s="20" t="n">
        <v>0</v>
      </c>
      <c r="S90" s="21" t="n">
        <v>0</v>
      </c>
      <c r="T90" s="22" t="n">
        <v>8879</v>
      </c>
      <c r="U90" s="23" t="n">
        <v>1</v>
      </c>
      <c r="V90" s="23" t="n">
        <v>0</v>
      </c>
      <c r="W90" s="23" t="n">
        <v>0</v>
      </c>
      <c r="X90" s="40" t="n"/>
      <c r="Y90" s="18" t="n"/>
      <c r="Z90" s="18" t="inlineStr">
        <is>
          <t>NÃO</t>
        </is>
      </c>
    </row>
    <row r="91">
      <c r="A91" s="18" t="inlineStr">
        <is>
          <t>16/CIDAN</t>
        </is>
      </c>
      <c r="B91" s="18" t="inlineStr">
        <is>
          <t>SPE - CIDADE NOVA LTDA</t>
        </is>
      </c>
      <c r="C91" s="18" t="inlineStr">
        <is>
          <t>156</t>
        </is>
      </c>
      <c r="D91" s="18" t="inlineStr">
        <is>
          <t>MARLY ZINEIDE DOS SANTOS</t>
        </is>
      </c>
      <c r="E91" s="25" t="inlineStr">
        <is>
          <t>QUADRA 06/LOTE 18</t>
        </is>
      </c>
      <c r="F91" s="43" t="inlineStr">
        <is>
          <t>QUITADO</t>
        </is>
      </c>
      <c r="G91" s="22" t="n">
        <v>0</v>
      </c>
      <c r="H91" s="20" t="n">
        <v>178</v>
      </c>
      <c r="I91" s="20" t="n">
        <v>4</v>
      </c>
      <c r="J91" s="21" t="n">
        <v>868.4400000000001</v>
      </c>
      <c r="K91" s="44" t="n">
        <v>0</v>
      </c>
      <c r="L91" s="22" t="n">
        <v>0</v>
      </c>
      <c r="M91" s="22" t="n">
        <v>0</v>
      </c>
      <c r="N91" s="22" t="n">
        <v>0</v>
      </c>
      <c r="O91" s="22" t="n">
        <v>0</v>
      </c>
      <c r="P91" s="22" t="n">
        <v>0</v>
      </c>
      <c r="Q91" s="21" t="n">
        <v>0</v>
      </c>
      <c r="R91" s="20" t="n">
        <v>0</v>
      </c>
      <c r="S91" s="21" t="n">
        <v>0</v>
      </c>
      <c r="T91" s="22" t="n">
        <v>868.4400000000001</v>
      </c>
      <c r="U91" s="23" t="n">
        <v>1</v>
      </c>
      <c r="V91" s="23" t="n">
        <v>0</v>
      </c>
      <c r="W91" s="23" t="n">
        <v>0</v>
      </c>
      <c r="X91" s="40" t="n"/>
      <c r="Y91" s="18" t="n"/>
      <c r="Z91" s="18" t="inlineStr">
        <is>
          <t>NÃO</t>
        </is>
      </c>
    </row>
    <row r="92">
      <c r="A92" s="18" t="inlineStr">
        <is>
          <t>16/CIDAN</t>
        </is>
      </c>
      <c r="B92" s="18" t="inlineStr">
        <is>
          <t>SPE - CIDADE NOVA LTDA</t>
        </is>
      </c>
      <c r="C92" s="18" t="inlineStr">
        <is>
          <t>161</t>
        </is>
      </c>
      <c r="D92" s="18" t="inlineStr">
        <is>
          <t>OTACILIA RODRIGUES LEITE</t>
        </is>
      </c>
      <c r="E92" s="25" t="inlineStr">
        <is>
          <t>QUADRA 05/LOTE 02</t>
        </is>
      </c>
      <c r="F92" s="43" t="inlineStr">
        <is>
          <t>QUITADO</t>
        </is>
      </c>
      <c r="G92" s="22" t="n">
        <v>0</v>
      </c>
      <c r="H92" s="20" t="n">
        <v>178</v>
      </c>
      <c r="I92" s="20" t="n">
        <v>3</v>
      </c>
      <c r="J92" s="21" t="n">
        <v>604.17</v>
      </c>
      <c r="K92" s="44" t="n">
        <v>0</v>
      </c>
      <c r="L92" s="22" t="n">
        <v>0</v>
      </c>
      <c r="M92" s="22" t="n">
        <v>0</v>
      </c>
      <c r="N92" s="22" t="n">
        <v>0</v>
      </c>
      <c r="O92" s="22" t="n">
        <v>0</v>
      </c>
      <c r="P92" s="22" t="n">
        <v>0</v>
      </c>
      <c r="Q92" s="21" t="n">
        <v>0</v>
      </c>
      <c r="R92" s="20" t="n">
        <v>0</v>
      </c>
      <c r="S92" s="21" t="n">
        <v>0</v>
      </c>
      <c r="T92" s="22" t="n">
        <v>604.17</v>
      </c>
      <c r="U92" s="23" t="n">
        <v>1</v>
      </c>
      <c r="V92" s="23" t="n">
        <v>0</v>
      </c>
      <c r="W92" s="23" t="n">
        <v>0</v>
      </c>
      <c r="X92" s="40" t="n"/>
      <c r="Y92" s="18" t="n"/>
      <c r="Z92" s="18" t="inlineStr">
        <is>
          <t>NÃO</t>
        </is>
      </c>
    </row>
    <row r="93">
      <c r="A93" s="18" t="inlineStr">
        <is>
          <t>16/CIDAN</t>
        </is>
      </c>
      <c r="B93" s="18" t="inlineStr">
        <is>
          <t>SPE - CIDADE NOVA LTDA</t>
        </is>
      </c>
      <c r="C93" s="18" t="inlineStr">
        <is>
          <t>164</t>
        </is>
      </c>
      <c r="D93" s="18" t="inlineStr">
        <is>
          <t>IRANILDE LIMA ARAUJO</t>
        </is>
      </c>
      <c r="E93" s="25" t="inlineStr">
        <is>
          <t>QUADRA 05/LOTE 01</t>
        </is>
      </c>
      <c r="F93" s="43" t="inlineStr">
        <is>
          <t>QUITADO</t>
        </is>
      </c>
      <c r="G93" s="22" t="n">
        <v>0</v>
      </c>
      <c r="H93" s="20" t="n">
        <v>178</v>
      </c>
      <c r="I93" s="20" t="n">
        <v>1</v>
      </c>
      <c r="J93" s="21" t="n">
        <v>201.71</v>
      </c>
      <c r="K93" s="44" t="n">
        <v>0</v>
      </c>
      <c r="L93" s="22" t="n">
        <v>0</v>
      </c>
      <c r="M93" s="22" t="n">
        <v>0</v>
      </c>
      <c r="N93" s="22" t="n">
        <v>0</v>
      </c>
      <c r="O93" s="22" t="n">
        <v>0</v>
      </c>
      <c r="P93" s="22" t="n">
        <v>0</v>
      </c>
      <c r="Q93" s="21" t="n">
        <v>0</v>
      </c>
      <c r="R93" s="20" t="n">
        <v>0</v>
      </c>
      <c r="S93" s="21" t="n">
        <v>0</v>
      </c>
      <c r="T93" s="22" t="n">
        <v>201.71</v>
      </c>
      <c r="U93" s="23" t="n">
        <v>1</v>
      </c>
      <c r="V93" s="23" t="n">
        <v>0</v>
      </c>
      <c r="W93" s="23" t="n">
        <v>0</v>
      </c>
      <c r="X93" s="40" t="n"/>
      <c r="Y93" s="18" t="n"/>
      <c r="Z93" s="18" t="inlineStr">
        <is>
          <t>NÃO</t>
        </is>
      </c>
    </row>
    <row r="94">
      <c r="A94" s="18" t="inlineStr">
        <is>
          <t>16/CIDAN</t>
        </is>
      </c>
      <c r="B94" s="18" t="inlineStr">
        <is>
          <t>SPE - CIDADE NOVA LTDA</t>
        </is>
      </c>
      <c r="C94" s="18" t="inlineStr">
        <is>
          <t>165</t>
        </is>
      </c>
      <c r="D94" s="18" t="inlineStr">
        <is>
          <t>VANDO DA SILVA VIEIRA</t>
        </is>
      </c>
      <c r="E94" s="25" t="inlineStr">
        <is>
          <t>QUADRA 07/LOTE 15</t>
        </is>
      </c>
      <c r="F94" s="43" t="inlineStr">
        <is>
          <t>QUITADO</t>
        </is>
      </c>
      <c r="G94" s="22" t="n">
        <v>0</v>
      </c>
      <c r="H94" s="20" t="n">
        <v>178</v>
      </c>
      <c r="I94" s="20" t="n">
        <v>38</v>
      </c>
      <c r="J94" s="21" t="n">
        <v>7223.45</v>
      </c>
      <c r="K94" s="44" t="n">
        <v>0</v>
      </c>
      <c r="L94" s="22" t="n">
        <v>0</v>
      </c>
      <c r="M94" s="22" t="n">
        <v>0</v>
      </c>
      <c r="N94" s="22" t="n">
        <v>0</v>
      </c>
      <c r="O94" s="22" t="n">
        <v>0</v>
      </c>
      <c r="P94" s="22" t="n">
        <v>0</v>
      </c>
      <c r="Q94" s="21" t="n">
        <v>0</v>
      </c>
      <c r="R94" s="20" t="n">
        <v>0</v>
      </c>
      <c r="S94" s="21" t="n">
        <v>0</v>
      </c>
      <c r="T94" s="22" t="n">
        <v>7223.45</v>
      </c>
      <c r="U94" s="23" t="n">
        <v>1</v>
      </c>
      <c r="V94" s="23" t="n">
        <v>0</v>
      </c>
      <c r="W94" s="23" t="n">
        <v>0</v>
      </c>
      <c r="X94" s="40" t="n"/>
      <c r="Y94" s="18" t="n"/>
      <c r="Z94" s="18" t="inlineStr">
        <is>
          <t>NÃO</t>
        </is>
      </c>
    </row>
    <row r="95">
      <c r="A95" s="18" t="inlineStr">
        <is>
          <t>16/CIDAN</t>
        </is>
      </c>
      <c r="B95" s="18" t="inlineStr">
        <is>
          <t>SPE - CIDADE NOVA LTDA</t>
        </is>
      </c>
      <c r="C95" s="18" t="inlineStr">
        <is>
          <t>17</t>
        </is>
      </c>
      <c r="D95" s="18" t="inlineStr">
        <is>
          <t>EVALDO BAIMA DOS SANTOS</t>
        </is>
      </c>
      <c r="E95" s="25" t="inlineStr">
        <is>
          <t>QUADRA 09/LOTE 18</t>
        </is>
      </c>
      <c r="F95" s="43" t="inlineStr">
        <is>
          <t>QUITADO</t>
        </is>
      </c>
      <c r="G95" s="22" t="n">
        <v>0</v>
      </c>
      <c r="H95" s="20" t="n">
        <v>178</v>
      </c>
      <c r="I95" s="20" t="n">
        <v>1</v>
      </c>
      <c r="J95" s="21" t="n">
        <v>205.42</v>
      </c>
      <c r="K95" s="44" t="n">
        <v>0</v>
      </c>
      <c r="L95" s="22" t="n">
        <v>0</v>
      </c>
      <c r="M95" s="22" t="n">
        <v>0</v>
      </c>
      <c r="N95" s="22" t="n">
        <v>0</v>
      </c>
      <c r="O95" s="22" t="n">
        <v>0</v>
      </c>
      <c r="P95" s="22" t="n">
        <v>0</v>
      </c>
      <c r="Q95" s="21" t="n">
        <v>0</v>
      </c>
      <c r="R95" s="20" t="n">
        <v>0</v>
      </c>
      <c r="S95" s="21" t="n">
        <v>0</v>
      </c>
      <c r="T95" s="22" t="n">
        <v>205.42</v>
      </c>
      <c r="U95" s="23" t="n">
        <v>1</v>
      </c>
      <c r="V95" s="23" t="n">
        <v>0</v>
      </c>
      <c r="W95" s="23" t="n">
        <v>0</v>
      </c>
      <c r="X95" s="40" t="n"/>
      <c r="Y95" s="18" t="n"/>
      <c r="Z95" s="18" t="inlineStr">
        <is>
          <t>NÃO</t>
        </is>
      </c>
    </row>
    <row r="96">
      <c r="A96" s="18" t="inlineStr">
        <is>
          <t>16/CIDAN</t>
        </is>
      </c>
      <c r="B96" s="18" t="inlineStr">
        <is>
          <t>SPE - CIDADE NOVA LTDA</t>
        </is>
      </c>
      <c r="C96" s="18" t="inlineStr">
        <is>
          <t>173</t>
        </is>
      </c>
      <c r="D96" s="18" t="inlineStr">
        <is>
          <t>MANOEL MESSIAS DOS SANTOS</t>
        </is>
      </c>
      <c r="E96" s="25" t="inlineStr">
        <is>
          <t>QUADRA 07/LOTE 20</t>
        </is>
      </c>
      <c r="F96" s="43" t="inlineStr">
        <is>
          <t>QUITADO</t>
        </is>
      </c>
      <c r="G96" s="22" t="n">
        <v>0</v>
      </c>
      <c r="H96" s="20" t="n">
        <v>178</v>
      </c>
      <c r="I96" s="20" t="n">
        <v>3</v>
      </c>
      <c r="J96" s="21" t="n">
        <v>532.4399999999999</v>
      </c>
      <c r="K96" s="44" t="n">
        <v>0</v>
      </c>
      <c r="L96" s="22" t="n">
        <v>0</v>
      </c>
      <c r="M96" s="22" t="n">
        <v>0</v>
      </c>
      <c r="N96" s="22" t="n">
        <v>0</v>
      </c>
      <c r="O96" s="22" t="n">
        <v>0</v>
      </c>
      <c r="P96" s="22" t="n">
        <v>0</v>
      </c>
      <c r="Q96" s="21" t="n">
        <v>0</v>
      </c>
      <c r="R96" s="20" t="n">
        <v>0</v>
      </c>
      <c r="S96" s="21" t="n">
        <v>0</v>
      </c>
      <c r="T96" s="22" t="n">
        <v>532.4400000000001</v>
      </c>
      <c r="U96" s="23" t="n">
        <v>1</v>
      </c>
      <c r="V96" s="23" t="n">
        <v>0</v>
      </c>
      <c r="W96" s="23" t="n">
        <v>0</v>
      </c>
      <c r="X96" s="40" t="n"/>
      <c r="Y96" s="18" t="n"/>
      <c r="Z96" s="18" t="inlineStr">
        <is>
          <t>NÃO</t>
        </is>
      </c>
    </row>
    <row r="97">
      <c r="A97" s="18" t="inlineStr">
        <is>
          <t>16/CIDAN</t>
        </is>
      </c>
      <c r="B97" s="18" t="inlineStr">
        <is>
          <t>SPE - CIDADE NOVA LTDA</t>
        </is>
      </c>
      <c r="C97" s="18" t="inlineStr">
        <is>
          <t>176</t>
        </is>
      </c>
      <c r="D97" s="18" t="inlineStr">
        <is>
          <t>ELOIDE PEREIRA DA CUNHA</t>
        </is>
      </c>
      <c r="E97" s="25" t="inlineStr">
        <is>
          <t>QUADRA 08/LOTE 17</t>
        </is>
      </c>
      <c r="F97" s="43" t="inlineStr">
        <is>
          <t>QUITADO</t>
        </is>
      </c>
      <c r="G97" s="22" t="n">
        <v>0</v>
      </c>
      <c r="H97" s="20" t="n">
        <v>178</v>
      </c>
      <c r="I97" s="20" t="n">
        <v>5</v>
      </c>
      <c r="J97" s="21" t="n">
        <v>868.0500000000001</v>
      </c>
      <c r="K97" s="44" t="n">
        <v>0</v>
      </c>
      <c r="L97" s="22" t="n">
        <v>0</v>
      </c>
      <c r="M97" s="22" t="n">
        <v>0</v>
      </c>
      <c r="N97" s="22" t="n">
        <v>0</v>
      </c>
      <c r="O97" s="22" t="n">
        <v>0</v>
      </c>
      <c r="P97" s="22" t="n">
        <v>0</v>
      </c>
      <c r="Q97" s="21" t="n">
        <v>0</v>
      </c>
      <c r="R97" s="20" t="n">
        <v>0</v>
      </c>
      <c r="S97" s="21" t="n">
        <v>0</v>
      </c>
      <c r="T97" s="22" t="n">
        <v>868.05</v>
      </c>
      <c r="U97" s="23" t="n">
        <v>1</v>
      </c>
      <c r="V97" s="23" t="n">
        <v>0</v>
      </c>
      <c r="W97" s="23" t="n">
        <v>0</v>
      </c>
      <c r="X97" s="40" t="n"/>
      <c r="Y97" s="18" t="n"/>
      <c r="Z97" s="18" t="inlineStr">
        <is>
          <t>NÃO</t>
        </is>
      </c>
    </row>
    <row r="98">
      <c r="A98" s="18" t="inlineStr">
        <is>
          <t>16/CIDAN</t>
        </is>
      </c>
      <c r="B98" s="18" t="inlineStr">
        <is>
          <t>SPE - CIDADE NOVA LTDA</t>
        </is>
      </c>
      <c r="C98" s="18" t="inlineStr">
        <is>
          <t>177</t>
        </is>
      </c>
      <c r="D98" s="18" t="inlineStr">
        <is>
          <t>LUCIANA GOMES VIEIRA</t>
        </is>
      </c>
      <c r="E98" s="25" t="inlineStr">
        <is>
          <t>QUADRA 08/LOTE 16</t>
        </is>
      </c>
      <c r="F98" s="43" t="inlineStr">
        <is>
          <t>QUITADO</t>
        </is>
      </c>
      <c r="G98" s="22" t="n">
        <v>0</v>
      </c>
      <c r="H98" s="20" t="n">
        <v>178</v>
      </c>
      <c r="I98" s="20" t="n">
        <v>7</v>
      </c>
      <c r="J98" s="21" t="n">
        <v>1215.27</v>
      </c>
      <c r="K98" s="44" t="n">
        <v>0</v>
      </c>
      <c r="L98" s="22" t="n">
        <v>0</v>
      </c>
      <c r="M98" s="22" t="n">
        <v>0</v>
      </c>
      <c r="N98" s="22" t="n">
        <v>0</v>
      </c>
      <c r="O98" s="22" t="n">
        <v>0</v>
      </c>
      <c r="P98" s="22" t="n">
        <v>0</v>
      </c>
      <c r="Q98" s="21" t="n">
        <v>0</v>
      </c>
      <c r="R98" s="20" t="n">
        <v>0</v>
      </c>
      <c r="S98" s="21" t="n">
        <v>0</v>
      </c>
      <c r="T98" s="22" t="n">
        <v>1215.27</v>
      </c>
      <c r="U98" s="23" t="n">
        <v>1</v>
      </c>
      <c r="V98" s="23" t="n">
        <v>0</v>
      </c>
      <c r="W98" s="23" t="n">
        <v>0</v>
      </c>
      <c r="X98" s="40" t="n"/>
      <c r="Y98" s="18" t="n"/>
      <c r="Z98" s="18" t="inlineStr">
        <is>
          <t>NÃO</t>
        </is>
      </c>
    </row>
    <row r="99">
      <c r="A99" s="18" t="inlineStr">
        <is>
          <t>16/CIDAN</t>
        </is>
      </c>
      <c r="B99" s="18" t="inlineStr">
        <is>
          <t>SPE - CIDADE NOVA LTDA</t>
        </is>
      </c>
      <c r="C99" s="18" t="inlineStr">
        <is>
          <t>179</t>
        </is>
      </c>
      <c r="D99" s="18" t="inlineStr">
        <is>
          <t>LUCINEIDE ARAUJO SILVA</t>
        </is>
      </c>
      <c r="E99" s="25" t="inlineStr">
        <is>
          <t>QUADRA 08/LOTE 14</t>
        </is>
      </c>
      <c r="F99" s="43" t="inlineStr">
        <is>
          <t>QUITADO</t>
        </is>
      </c>
      <c r="G99" s="22" t="n">
        <v>0</v>
      </c>
      <c r="H99" s="20" t="n">
        <v>178</v>
      </c>
      <c r="I99" s="20" t="n">
        <v>5</v>
      </c>
      <c r="J99" s="21" t="n">
        <v>889.1500000000001</v>
      </c>
      <c r="K99" s="44" t="n">
        <v>0</v>
      </c>
      <c r="L99" s="22" t="n">
        <v>0</v>
      </c>
      <c r="M99" s="22" t="n">
        <v>0</v>
      </c>
      <c r="N99" s="22" t="n">
        <v>0</v>
      </c>
      <c r="O99" s="22" t="n">
        <v>0</v>
      </c>
      <c r="P99" s="22" t="n">
        <v>0</v>
      </c>
      <c r="Q99" s="21" t="n">
        <v>0</v>
      </c>
      <c r="R99" s="20" t="n">
        <v>0</v>
      </c>
      <c r="S99" s="21" t="n">
        <v>0</v>
      </c>
      <c r="T99" s="22" t="n">
        <v>889.15</v>
      </c>
      <c r="U99" s="23" t="n">
        <v>1</v>
      </c>
      <c r="V99" s="23" t="n">
        <v>0</v>
      </c>
      <c r="W99" s="23" t="n">
        <v>0</v>
      </c>
      <c r="X99" s="40" t="n"/>
      <c r="Y99" s="18" t="n"/>
      <c r="Z99" s="18" t="inlineStr">
        <is>
          <t>NÃO</t>
        </is>
      </c>
    </row>
    <row r="100">
      <c r="A100" s="18" t="inlineStr">
        <is>
          <t>16/CIDAN</t>
        </is>
      </c>
      <c r="B100" s="18" t="inlineStr">
        <is>
          <t>SPE - CIDADE NOVA LTDA</t>
        </is>
      </c>
      <c r="C100" s="18" t="inlineStr">
        <is>
          <t>184</t>
        </is>
      </c>
      <c r="D100" s="18" t="inlineStr">
        <is>
          <t>JOSE DE RIBAMAR MARTINS MENDES</t>
        </is>
      </c>
      <c r="E100" s="25" t="inlineStr">
        <is>
          <t>QUADRA 04/LOTE 19</t>
        </is>
      </c>
      <c r="F100" s="43" t="inlineStr">
        <is>
          <t>QUITADO</t>
        </is>
      </c>
      <c r="G100" s="22" t="n">
        <v>0</v>
      </c>
      <c r="H100" s="20" t="n">
        <v>178</v>
      </c>
      <c r="I100" s="20" t="n">
        <v>3</v>
      </c>
      <c r="J100" s="21" t="n">
        <v>895.83</v>
      </c>
      <c r="K100" s="44" t="n">
        <v>0</v>
      </c>
      <c r="L100" s="22" t="n">
        <v>0</v>
      </c>
      <c r="M100" s="22" t="n">
        <v>0</v>
      </c>
      <c r="N100" s="22" t="n">
        <v>0</v>
      </c>
      <c r="O100" s="22" t="n">
        <v>0</v>
      </c>
      <c r="P100" s="22" t="n">
        <v>0</v>
      </c>
      <c r="Q100" s="21" t="n">
        <v>0</v>
      </c>
      <c r="R100" s="20" t="n">
        <v>0</v>
      </c>
      <c r="S100" s="21" t="n">
        <v>0</v>
      </c>
      <c r="T100" s="22" t="n">
        <v>895.83</v>
      </c>
      <c r="U100" s="23" t="n">
        <v>1</v>
      </c>
      <c r="V100" s="23" t="n">
        <v>0</v>
      </c>
      <c r="W100" s="23" t="n">
        <v>0</v>
      </c>
      <c r="X100" s="40" t="n"/>
      <c r="Y100" s="18" t="n"/>
      <c r="Z100" s="18" t="inlineStr">
        <is>
          <t>NÃO</t>
        </is>
      </c>
    </row>
    <row r="101">
      <c r="A101" s="18" t="inlineStr">
        <is>
          <t>16/CIDAN</t>
        </is>
      </c>
      <c r="B101" s="18" t="inlineStr">
        <is>
          <t>SPE - CIDADE NOVA LTDA</t>
        </is>
      </c>
      <c r="C101" s="18" t="inlineStr">
        <is>
          <t>188</t>
        </is>
      </c>
      <c r="D101" s="18" t="inlineStr">
        <is>
          <t>ANDRE RIBEIRO DA CRUZ</t>
        </is>
      </c>
      <c r="E101" s="25" t="inlineStr">
        <is>
          <t>QUADRA 12/LOTE 02</t>
        </is>
      </c>
      <c r="F101" s="43" t="inlineStr">
        <is>
          <t>QUITADO</t>
        </is>
      </c>
      <c r="G101" s="22" t="n">
        <v>0</v>
      </c>
      <c r="H101" s="20" t="n">
        <v>178</v>
      </c>
      <c r="I101" s="20" t="n">
        <v>7</v>
      </c>
      <c r="J101" s="21" t="n">
        <v>1221.25</v>
      </c>
      <c r="K101" s="44" t="n">
        <v>0</v>
      </c>
      <c r="L101" s="22" t="n">
        <v>0</v>
      </c>
      <c r="M101" s="22" t="n">
        <v>0</v>
      </c>
      <c r="N101" s="22" t="n">
        <v>0</v>
      </c>
      <c r="O101" s="22" t="n">
        <v>0</v>
      </c>
      <c r="P101" s="22" t="n">
        <v>0</v>
      </c>
      <c r="Q101" s="21" t="n">
        <v>0</v>
      </c>
      <c r="R101" s="20" t="n">
        <v>0</v>
      </c>
      <c r="S101" s="21" t="n">
        <v>0</v>
      </c>
      <c r="T101" s="22" t="n">
        <v>1221.25</v>
      </c>
      <c r="U101" s="23" t="n">
        <v>1</v>
      </c>
      <c r="V101" s="23" t="n">
        <v>0</v>
      </c>
      <c r="W101" s="23" t="n">
        <v>0</v>
      </c>
      <c r="X101" s="40" t="n"/>
      <c r="Y101" s="18" t="n"/>
      <c r="Z101" s="18" t="inlineStr">
        <is>
          <t>NÃO</t>
        </is>
      </c>
    </row>
    <row r="102">
      <c r="A102" s="18" t="inlineStr">
        <is>
          <t>16/CIDAN</t>
        </is>
      </c>
      <c r="B102" s="18" t="inlineStr">
        <is>
          <t>SPE - CIDADE NOVA LTDA</t>
        </is>
      </c>
      <c r="C102" s="18" t="inlineStr">
        <is>
          <t>19</t>
        </is>
      </c>
      <c r="D102" s="18" t="inlineStr">
        <is>
          <t>JURACI DA CRUS SOUSA</t>
        </is>
      </c>
      <c r="E102" s="25" t="inlineStr">
        <is>
          <t>QUADRA 11/LOTE 17</t>
        </is>
      </c>
      <c r="F102" s="43" t="inlineStr">
        <is>
          <t>QUITADO</t>
        </is>
      </c>
      <c r="G102" s="22" t="n">
        <v>0</v>
      </c>
      <c r="H102" s="20" t="n">
        <v>178</v>
      </c>
      <c r="I102" s="20" t="n">
        <v>10</v>
      </c>
      <c r="J102" s="21" t="n">
        <v>1784.5</v>
      </c>
      <c r="K102" s="44" t="n">
        <v>0</v>
      </c>
      <c r="L102" s="22" t="n">
        <v>0</v>
      </c>
      <c r="M102" s="22" t="n">
        <v>0</v>
      </c>
      <c r="N102" s="22" t="n">
        <v>0</v>
      </c>
      <c r="O102" s="22" t="n">
        <v>0</v>
      </c>
      <c r="P102" s="22" t="n">
        <v>0</v>
      </c>
      <c r="Q102" s="21" t="n">
        <v>0</v>
      </c>
      <c r="R102" s="20" t="n">
        <v>0</v>
      </c>
      <c r="S102" s="21" t="n">
        <v>0</v>
      </c>
      <c r="T102" s="22" t="n">
        <v>1784.5</v>
      </c>
      <c r="U102" s="23" t="n">
        <v>1</v>
      </c>
      <c r="V102" s="23" t="n">
        <v>0</v>
      </c>
      <c r="W102" s="23" t="n">
        <v>0</v>
      </c>
      <c r="X102" s="40" t="n"/>
      <c r="Y102" s="18" t="n"/>
      <c r="Z102" s="18" t="inlineStr">
        <is>
          <t>NÃO</t>
        </is>
      </c>
    </row>
    <row r="103">
      <c r="A103" s="18" t="inlineStr">
        <is>
          <t>16/CIDAN</t>
        </is>
      </c>
      <c r="B103" s="18" t="inlineStr">
        <is>
          <t>SPE - CIDADE NOVA LTDA</t>
        </is>
      </c>
      <c r="C103" s="18" t="inlineStr">
        <is>
          <t>190</t>
        </is>
      </c>
      <c r="D103" s="18" t="inlineStr">
        <is>
          <t>JOSE ANTONIO DA SILVA</t>
        </is>
      </c>
      <c r="E103" s="25" t="inlineStr">
        <is>
          <t>QUADRA 02/LOTE 10</t>
        </is>
      </c>
      <c r="F103" s="43" t="inlineStr">
        <is>
          <t>QUITADO</t>
        </is>
      </c>
      <c r="G103" s="22" t="n">
        <v>0</v>
      </c>
      <c r="H103" s="20" t="n">
        <v>178</v>
      </c>
      <c r="I103" s="20" t="n">
        <v>28</v>
      </c>
      <c r="J103" s="21" t="n">
        <v>8797.98</v>
      </c>
      <c r="K103" s="44" t="n">
        <v>0</v>
      </c>
      <c r="L103" s="22" t="n">
        <v>0</v>
      </c>
      <c r="M103" s="22" t="n">
        <v>0</v>
      </c>
      <c r="N103" s="22" t="n">
        <v>0</v>
      </c>
      <c r="O103" s="22" t="n">
        <v>0</v>
      </c>
      <c r="P103" s="22" t="n">
        <v>0</v>
      </c>
      <c r="Q103" s="21" t="n">
        <v>0</v>
      </c>
      <c r="R103" s="20" t="n">
        <v>0</v>
      </c>
      <c r="S103" s="21" t="n">
        <v>0</v>
      </c>
      <c r="T103" s="22" t="n">
        <v>8797.98</v>
      </c>
      <c r="U103" s="23" t="n">
        <v>1</v>
      </c>
      <c r="V103" s="23" t="n">
        <v>0</v>
      </c>
      <c r="W103" s="23" t="n">
        <v>0</v>
      </c>
      <c r="X103" s="40" t="n"/>
      <c r="Y103" s="18" t="n"/>
      <c r="Z103" s="18" t="inlineStr">
        <is>
          <t>NÃO</t>
        </is>
      </c>
    </row>
    <row r="104">
      <c r="A104" s="18" t="inlineStr">
        <is>
          <t>16/CIDAN</t>
        </is>
      </c>
      <c r="B104" s="18" t="inlineStr">
        <is>
          <t>SPE - CIDADE NOVA LTDA</t>
        </is>
      </c>
      <c r="C104" s="18" t="inlineStr">
        <is>
          <t>194</t>
        </is>
      </c>
      <c r="D104" s="18" t="inlineStr">
        <is>
          <t>MILTON SOUZA DO NASCIMENTO</t>
        </is>
      </c>
      <c r="E104" s="25" t="inlineStr">
        <is>
          <t>QUADRA 01/LOTE 22</t>
        </is>
      </c>
      <c r="F104" s="43" t="inlineStr">
        <is>
          <t>QUITADO</t>
        </is>
      </c>
      <c r="G104" s="22" t="n">
        <v>0</v>
      </c>
      <c r="H104" s="20" t="n">
        <v>178</v>
      </c>
      <c r="I104" s="20" t="n">
        <v>5</v>
      </c>
      <c r="J104" s="21" t="n">
        <v>876.03</v>
      </c>
      <c r="K104" s="44" t="n">
        <v>0</v>
      </c>
      <c r="L104" s="22" t="n">
        <v>0</v>
      </c>
      <c r="M104" s="22" t="n">
        <v>0</v>
      </c>
      <c r="N104" s="22" t="n">
        <v>0</v>
      </c>
      <c r="O104" s="22" t="n">
        <v>0</v>
      </c>
      <c r="P104" s="22" t="n">
        <v>0</v>
      </c>
      <c r="Q104" s="21" t="n">
        <v>0</v>
      </c>
      <c r="R104" s="20" t="n">
        <v>0</v>
      </c>
      <c r="S104" s="21" t="n">
        <v>0</v>
      </c>
      <c r="T104" s="22" t="n">
        <v>876.03</v>
      </c>
      <c r="U104" s="23" t="n">
        <v>1</v>
      </c>
      <c r="V104" s="23" t="n">
        <v>0</v>
      </c>
      <c r="W104" s="23" t="n">
        <v>0</v>
      </c>
      <c r="X104" s="40" t="n"/>
      <c r="Y104" s="18" t="n"/>
      <c r="Z104" s="18" t="inlineStr">
        <is>
          <t>NÃO</t>
        </is>
      </c>
    </row>
    <row r="105">
      <c r="A105" s="18" t="inlineStr">
        <is>
          <t>16/CIDAN</t>
        </is>
      </c>
      <c r="B105" s="18" t="inlineStr">
        <is>
          <t>SPE - CIDADE NOVA LTDA</t>
        </is>
      </c>
      <c r="C105" s="18" t="inlineStr">
        <is>
          <t>195</t>
        </is>
      </c>
      <c r="D105" s="18" t="inlineStr">
        <is>
          <t>EDVALDO PEREIRA DOS SANTOS</t>
        </is>
      </c>
      <c r="E105" s="25" t="inlineStr">
        <is>
          <t>QUADRA 10/LOTE 05</t>
        </is>
      </c>
      <c r="F105" s="43" t="inlineStr">
        <is>
          <t>QUITADO</t>
        </is>
      </c>
      <c r="G105" s="22" t="n">
        <v>0</v>
      </c>
      <c r="H105" s="20" t="n">
        <v>178</v>
      </c>
      <c r="I105" s="20" t="n">
        <v>112</v>
      </c>
      <c r="J105" s="21" t="n">
        <v>41196.57</v>
      </c>
      <c r="K105" s="44" t="n">
        <v>0</v>
      </c>
      <c r="L105" s="22" t="n">
        <v>0</v>
      </c>
      <c r="M105" s="22" t="n">
        <v>0</v>
      </c>
      <c r="N105" s="22" t="n">
        <v>0</v>
      </c>
      <c r="O105" s="22" t="n">
        <v>0</v>
      </c>
      <c r="P105" s="22" t="n">
        <v>0</v>
      </c>
      <c r="Q105" s="21" t="n">
        <v>0</v>
      </c>
      <c r="R105" s="20" t="n">
        <v>0</v>
      </c>
      <c r="S105" s="21" t="n">
        <v>0</v>
      </c>
      <c r="T105" s="22" t="n">
        <v>41196.57</v>
      </c>
      <c r="U105" s="23" t="n">
        <v>1</v>
      </c>
      <c r="V105" s="23" t="n">
        <v>0</v>
      </c>
      <c r="W105" s="23" t="n">
        <v>0</v>
      </c>
      <c r="X105" s="40" t="n"/>
      <c r="Y105" s="18" t="n"/>
      <c r="Z105" s="18" t="inlineStr">
        <is>
          <t>NÃO</t>
        </is>
      </c>
    </row>
    <row r="106">
      <c r="A106" s="18" t="inlineStr">
        <is>
          <t>16/CIDAN</t>
        </is>
      </c>
      <c r="B106" s="18" t="inlineStr">
        <is>
          <t>SPE - CIDADE NOVA LTDA</t>
        </is>
      </c>
      <c r="C106" s="18" t="inlineStr">
        <is>
          <t>197</t>
        </is>
      </c>
      <c r="D106" s="18" t="inlineStr">
        <is>
          <t>JOSCELIA RIBEIRO BATISTA ALMEIDA</t>
        </is>
      </c>
      <c r="E106" s="25" t="inlineStr">
        <is>
          <t>QUADRA 12/LOTE 01</t>
        </is>
      </c>
      <c r="F106" s="43" t="inlineStr">
        <is>
          <t>QUITADO</t>
        </is>
      </c>
      <c r="G106" s="22" t="n">
        <v>0</v>
      </c>
      <c r="H106" s="20" t="n">
        <v>178</v>
      </c>
      <c r="I106" s="20" t="n">
        <v>26</v>
      </c>
      <c r="J106" s="21" t="n">
        <v>4647.64</v>
      </c>
      <c r="K106" s="44" t="n">
        <v>0</v>
      </c>
      <c r="L106" s="22" t="n">
        <v>0</v>
      </c>
      <c r="M106" s="22" t="n">
        <v>0</v>
      </c>
      <c r="N106" s="22" t="n">
        <v>0</v>
      </c>
      <c r="O106" s="22" t="n">
        <v>0</v>
      </c>
      <c r="P106" s="22" t="n">
        <v>0</v>
      </c>
      <c r="Q106" s="21" t="n">
        <v>0</v>
      </c>
      <c r="R106" s="20" t="n">
        <v>0</v>
      </c>
      <c r="S106" s="21" t="n">
        <v>0</v>
      </c>
      <c r="T106" s="22" t="n">
        <v>4647.64</v>
      </c>
      <c r="U106" s="23" t="n">
        <v>1</v>
      </c>
      <c r="V106" s="23" t="n">
        <v>0</v>
      </c>
      <c r="W106" s="23" t="n">
        <v>0</v>
      </c>
      <c r="X106" s="40" t="n"/>
      <c r="Y106" s="18" t="n"/>
      <c r="Z106" s="18" t="inlineStr">
        <is>
          <t>NÃO</t>
        </is>
      </c>
    </row>
    <row r="107">
      <c r="A107" s="18" t="inlineStr">
        <is>
          <t>16/CIDAN</t>
        </is>
      </c>
      <c r="B107" s="18" t="inlineStr">
        <is>
          <t>SPE - CIDADE NOVA LTDA</t>
        </is>
      </c>
      <c r="C107" s="18" t="inlineStr">
        <is>
          <t>198</t>
        </is>
      </c>
      <c r="D107" s="18" t="inlineStr">
        <is>
          <t>RODRIGO CHAVES LIMA</t>
        </is>
      </c>
      <c r="E107" s="25" t="inlineStr">
        <is>
          <t>QUADRA 07/LOTE 10</t>
        </is>
      </c>
      <c r="F107" s="43" t="inlineStr">
        <is>
          <t>QUITADO</t>
        </is>
      </c>
      <c r="G107" s="22" t="n">
        <v>0</v>
      </c>
      <c r="H107" s="20" t="n">
        <v>178</v>
      </c>
      <c r="I107" s="20" t="n">
        <v>4</v>
      </c>
      <c r="J107" s="21" t="n">
        <v>708.6900000000001</v>
      </c>
      <c r="K107" s="44" t="n">
        <v>0</v>
      </c>
      <c r="L107" s="22" t="n">
        <v>0</v>
      </c>
      <c r="M107" s="22" t="n">
        <v>0</v>
      </c>
      <c r="N107" s="22" t="n">
        <v>0</v>
      </c>
      <c r="O107" s="22" t="n">
        <v>0</v>
      </c>
      <c r="P107" s="22" t="n">
        <v>0</v>
      </c>
      <c r="Q107" s="21" t="n">
        <v>0</v>
      </c>
      <c r="R107" s="20" t="n">
        <v>0</v>
      </c>
      <c r="S107" s="21" t="n">
        <v>0</v>
      </c>
      <c r="T107" s="22" t="n">
        <v>708.6900000000001</v>
      </c>
      <c r="U107" s="23" t="n">
        <v>1</v>
      </c>
      <c r="V107" s="23" t="n">
        <v>0</v>
      </c>
      <c r="W107" s="23" t="n">
        <v>0</v>
      </c>
      <c r="X107" s="40" t="n"/>
      <c r="Y107" s="18" t="n"/>
      <c r="Z107" s="18" t="inlineStr">
        <is>
          <t>NÃO</t>
        </is>
      </c>
    </row>
    <row r="108">
      <c r="A108" s="18" t="inlineStr">
        <is>
          <t>16/CIDAN</t>
        </is>
      </c>
      <c r="B108" s="18" t="inlineStr">
        <is>
          <t>SPE - CIDADE NOVA LTDA</t>
        </is>
      </c>
      <c r="C108" s="18" t="inlineStr">
        <is>
          <t>20</t>
        </is>
      </c>
      <c r="D108" s="18" t="inlineStr">
        <is>
          <t>ELISANGELA TOBIAS DA SILVA MOREIRA</t>
        </is>
      </c>
      <c r="E108" s="25" t="inlineStr">
        <is>
          <t>QUADRA 01/LOTE 05</t>
        </is>
      </c>
      <c r="F108" s="43" t="inlineStr">
        <is>
          <t>QUITADO</t>
        </is>
      </c>
      <c r="G108" s="22" t="n">
        <v>0</v>
      </c>
      <c r="H108" s="20" t="n">
        <v>178</v>
      </c>
      <c r="I108" s="20" t="n">
        <v>18</v>
      </c>
      <c r="J108" s="21" t="n">
        <v>5088.39</v>
      </c>
      <c r="K108" s="44" t="n">
        <v>0</v>
      </c>
      <c r="L108" s="22" t="n">
        <v>0</v>
      </c>
      <c r="M108" s="22" t="n">
        <v>0</v>
      </c>
      <c r="N108" s="22" t="n">
        <v>0</v>
      </c>
      <c r="O108" s="22" t="n">
        <v>0</v>
      </c>
      <c r="P108" s="22" t="n">
        <v>0</v>
      </c>
      <c r="Q108" s="21" t="n">
        <v>0</v>
      </c>
      <c r="R108" s="20" t="n">
        <v>0</v>
      </c>
      <c r="S108" s="21" t="n">
        <v>0</v>
      </c>
      <c r="T108" s="22" t="n">
        <v>5088.39</v>
      </c>
      <c r="U108" s="23" t="n">
        <v>1</v>
      </c>
      <c r="V108" s="23" t="n">
        <v>0</v>
      </c>
      <c r="W108" s="23" t="n">
        <v>0</v>
      </c>
      <c r="X108" s="40" t="n"/>
      <c r="Y108" s="18" t="n"/>
      <c r="Z108" s="18" t="inlineStr">
        <is>
          <t>NÃO</t>
        </is>
      </c>
    </row>
    <row r="109">
      <c r="A109" s="18" t="inlineStr">
        <is>
          <t>16/CIDAN</t>
        </is>
      </c>
      <c r="B109" s="18" t="inlineStr">
        <is>
          <t>SPE - CIDADE NOVA LTDA</t>
        </is>
      </c>
      <c r="C109" s="18" t="inlineStr">
        <is>
          <t>205</t>
        </is>
      </c>
      <c r="D109" s="18" t="inlineStr">
        <is>
          <t>JOCEANO RIBEIRO BATISTA</t>
        </is>
      </c>
      <c r="E109" s="25" t="inlineStr">
        <is>
          <t>QUADRA 14/LOTE 10</t>
        </is>
      </c>
      <c r="F109" s="43" t="inlineStr">
        <is>
          <t>QUITADO</t>
        </is>
      </c>
      <c r="G109" s="22" t="n">
        <v>0</v>
      </c>
      <c r="H109" s="20" t="n">
        <v>178</v>
      </c>
      <c r="I109" s="20" t="n">
        <v>42</v>
      </c>
      <c r="J109" s="21" t="n">
        <v>10124.06</v>
      </c>
      <c r="K109" s="44" t="n">
        <v>0</v>
      </c>
      <c r="L109" s="22" t="n">
        <v>0</v>
      </c>
      <c r="M109" s="22" t="n">
        <v>0</v>
      </c>
      <c r="N109" s="22" t="n">
        <v>0</v>
      </c>
      <c r="O109" s="22" t="n">
        <v>0</v>
      </c>
      <c r="P109" s="22" t="n">
        <v>0</v>
      </c>
      <c r="Q109" s="21" t="n">
        <v>0</v>
      </c>
      <c r="R109" s="20" t="n">
        <v>0</v>
      </c>
      <c r="S109" s="21" t="n">
        <v>0</v>
      </c>
      <c r="T109" s="22" t="n">
        <v>10124.06</v>
      </c>
      <c r="U109" s="23" t="n">
        <v>1</v>
      </c>
      <c r="V109" s="23" t="n">
        <v>0</v>
      </c>
      <c r="W109" s="23" t="n">
        <v>0</v>
      </c>
      <c r="X109" s="40" t="n"/>
      <c r="Y109" s="18" t="n"/>
      <c r="Z109" s="18" t="inlineStr">
        <is>
          <t>NÃO</t>
        </is>
      </c>
    </row>
    <row r="110">
      <c r="A110" s="18" t="inlineStr">
        <is>
          <t>16/CIDAN</t>
        </is>
      </c>
      <c r="B110" s="18" t="inlineStr">
        <is>
          <t>SPE - CIDADE NOVA LTDA</t>
        </is>
      </c>
      <c r="C110" s="18" t="inlineStr">
        <is>
          <t>210</t>
        </is>
      </c>
      <c r="D110" s="18" t="inlineStr">
        <is>
          <t>HILDERANES DE SOUZA LIMA</t>
        </is>
      </c>
      <c r="E110" s="25" t="inlineStr">
        <is>
          <t>QUADRA 07/LOTE 07</t>
        </is>
      </c>
      <c r="F110" s="43" t="inlineStr">
        <is>
          <t>QUITADO</t>
        </is>
      </c>
      <c r="G110" s="22" t="n">
        <v>0</v>
      </c>
      <c r="H110" s="20" t="n">
        <v>178</v>
      </c>
      <c r="I110" s="20" t="n">
        <v>20</v>
      </c>
      <c r="J110" s="21" t="n">
        <v>3935.78</v>
      </c>
      <c r="K110" s="44" t="n">
        <v>0</v>
      </c>
      <c r="L110" s="22" t="n">
        <v>0</v>
      </c>
      <c r="M110" s="22" t="n">
        <v>0</v>
      </c>
      <c r="N110" s="22" t="n">
        <v>0</v>
      </c>
      <c r="O110" s="22" t="n">
        <v>0</v>
      </c>
      <c r="P110" s="22" t="n">
        <v>0</v>
      </c>
      <c r="Q110" s="21" t="n">
        <v>0</v>
      </c>
      <c r="R110" s="20" t="n">
        <v>0</v>
      </c>
      <c r="S110" s="21" t="n">
        <v>0</v>
      </c>
      <c r="T110" s="22" t="n">
        <v>3935.78</v>
      </c>
      <c r="U110" s="23" t="n">
        <v>1</v>
      </c>
      <c r="V110" s="23" t="n">
        <v>0</v>
      </c>
      <c r="W110" s="23" t="n">
        <v>0</v>
      </c>
      <c r="X110" s="40" t="n"/>
      <c r="Y110" s="18" t="n"/>
      <c r="Z110" s="18" t="inlineStr">
        <is>
          <t>NÃO</t>
        </is>
      </c>
    </row>
    <row r="111">
      <c r="A111" s="18" t="inlineStr">
        <is>
          <t>16/CIDAN</t>
        </is>
      </c>
      <c r="B111" s="18" t="inlineStr">
        <is>
          <t>SPE - CIDADE NOVA LTDA</t>
        </is>
      </c>
      <c r="C111" s="18" t="inlineStr">
        <is>
          <t>217</t>
        </is>
      </c>
      <c r="D111" s="18" t="inlineStr">
        <is>
          <t>JAILMA LIMA RIBEIRO</t>
        </is>
      </c>
      <c r="E111" s="25" t="inlineStr">
        <is>
          <t>QUADRA 18/LOTE 18</t>
        </is>
      </c>
      <c r="F111" s="43" t="inlineStr">
        <is>
          <t>QUITADO</t>
        </is>
      </c>
      <c r="G111" s="22" t="n">
        <v>0</v>
      </c>
      <c r="H111" s="20" t="n">
        <v>178</v>
      </c>
      <c r="I111" s="20" t="n">
        <v>13</v>
      </c>
      <c r="J111" s="21" t="n">
        <v>2196.87</v>
      </c>
      <c r="K111" s="44" t="n">
        <v>0</v>
      </c>
      <c r="L111" s="22" t="n">
        <v>0</v>
      </c>
      <c r="M111" s="22" t="n">
        <v>0</v>
      </c>
      <c r="N111" s="22" t="n">
        <v>0</v>
      </c>
      <c r="O111" s="22" t="n">
        <v>0</v>
      </c>
      <c r="P111" s="22" t="n">
        <v>0</v>
      </c>
      <c r="Q111" s="21" t="n">
        <v>0</v>
      </c>
      <c r="R111" s="20" t="n">
        <v>0</v>
      </c>
      <c r="S111" s="21" t="n">
        <v>0</v>
      </c>
      <c r="T111" s="22" t="n">
        <v>2196.87</v>
      </c>
      <c r="U111" s="23" t="n">
        <v>1</v>
      </c>
      <c r="V111" s="23" t="n">
        <v>0</v>
      </c>
      <c r="W111" s="23" t="n">
        <v>0</v>
      </c>
      <c r="X111" s="40" t="n"/>
      <c r="Y111" s="18" t="n"/>
      <c r="Z111" s="18" t="inlineStr">
        <is>
          <t>NÃO</t>
        </is>
      </c>
    </row>
    <row r="112">
      <c r="A112" s="18" t="inlineStr">
        <is>
          <t>16/CIDAN</t>
        </is>
      </c>
      <c r="B112" s="18" t="inlineStr">
        <is>
          <t>SPE - CIDADE NOVA LTDA</t>
        </is>
      </c>
      <c r="C112" s="18" t="inlineStr">
        <is>
          <t>218</t>
        </is>
      </c>
      <c r="D112" s="18" t="inlineStr">
        <is>
          <t>MARIA FIRMINA DE SOUZA FREITAS</t>
        </is>
      </c>
      <c r="E112" s="25" t="inlineStr">
        <is>
          <t>QUADRA 03/LOTE 18</t>
        </is>
      </c>
      <c r="F112" s="43" t="inlineStr">
        <is>
          <t>QUITADO</t>
        </is>
      </c>
      <c r="G112" s="22" t="n">
        <v>0</v>
      </c>
      <c r="H112" s="20" t="n">
        <v>178</v>
      </c>
      <c r="I112" s="20" t="n">
        <v>15</v>
      </c>
      <c r="J112" s="21" t="n">
        <v>4929.54</v>
      </c>
      <c r="K112" s="44" t="n">
        <v>0</v>
      </c>
      <c r="L112" s="22" t="n">
        <v>0</v>
      </c>
      <c r="M112" s="22" t="n">
        <v>0</v>
      </c>
      <c r="N112" s="22" t="n">
        <v>0</v>
      </c>
      <c r="O112" s="22" t="n">
        <v>0</v>
      </c>
      <c r="P112" s="22" t="n">
        <v>0</v>
      </c>
      <c r="Q112" s="21" t="n">
        <v>0</v>
      </c>
      <c r="R112" s="20" t="n">
        <v>0</v>
      </c>
      <c r="S112" s="21" t="n">
        <v>0</v>
      </c>
      <c r="T112" s="22" t="n">
        <v>4929.54</v>
      </c>
      <c r="U112" s="23" t="n">
        <v>1</v>
      </c>
      <c r="V112" s="23" t="n">
        <v>0</v>
      </c>
      <c r="W112" s="23" t="n">
        <v>0</v>
      </c>
      <c r="X112" s="40" t="n"/>
      <c r="Y112" s="18" t="n"/>
      <c r="Z112" s="18" t="inlineStr">
        <is>
          <t>NÃO</t>
        </is>
      </c>
    </row>
    <row r="113">
      <c r="A113" s="18" t="inlineStr">
        <is>
          <t>16/CIDAN</t>
        </is>
      </c>
      <c r="B113" s="18" t="inlineStr">
        <is>
          <t>SPE - CIDADE NOVA LTDA</t>
        </is>
      </c>
      <c r="C113" s="18" t="inlineStr">
        <is>
          <t>220</t>
        </is>
      </c>
      <c r="D113" s="18" t="inlineStr">
        <is>
          <t>PATRICIA MARTINS DA SILVA</t>
        </is>
      </c>
      <c r="E113" s="25" t="inlineStr">
        <is>
          <t>QUADRA 18/LOTE 13</t>
        </is>
      </c>
      <c r="F113" s="43" t="inlineStr">
        <is>
          <t>QUITADO</t>
        </is>
      </c>
      <c r="G113" s="22" t="n">
        <v>0</v>
      </c>
      <c r="H113" s="20" t="n">
        <v>178</v>
      </c>
      <c r="I113" s="20" t="n">
        <v>3</v>
      </c>
      <c r="J113" s="21" t="n">
        <v>477.66</v>
      </c>
      <c r="K113" s="44" t="n">
        <v>0</v>
      </c>
      <c r="L113" s="22" t="n">
        <v>0</v>
      </c>
      <c r="M113" s="22" t="n">
        <v>0</v>
      </c>
      <c r="N113" s="22" t="n">
        <v>0</v>
      </c>
      <c r="O113" s="22" t="n">
        <v>0</v>
      </c>
      <c r="P113" s="22" t="n">
        <v>0</v>
      </c>
      <c r="Q113" s="21" t="n">
        <v>0</v>
      </c>
      <c r="R113" s="20" t="n">
        <v>0</v>
      </c>
      <c r="S113" s="21" t="n">
        <v>0</v>
      </c>
      <c r="T113" s="22" t="n">
        <v>477.66</v>
      </c>
      <c r="U113" s="23" t="n">
        <v>1</v>
      </c>
      <c r="V113" s="23" t="n">
        <v>0</v>
      </c>
      <c r="W113" s="23" t="n">
        <v>0</v>
      </c>
      <c r="X113" s="40" t="n"/>
      <c r="Y113" s="18" t="n"/>
      <c r="Z113" s="18" t="inlineStr">
        <is>
          <t>NÃO</t>
        </is>
      </c>
    </row>
    <row r="114">
      <c r="A114" s="18" t="inlineStr">
        <is>
          <t>16/CIDAN</t>
        </is>
      </c>
      <c r="B114" s="18" t="inlineStr">
        <is>
          <t>SPE - CIDADE NOVA LTDA</t>
        </is>
      </c>
      <c r="C114" s="18" t="inlineStr">
        <is>
          <t>222</t>
        </is>
      </c>
      <c r="D114" s="18" t="inlineStr">
        <is>
          <t>SILVIO MARCOS GONÇALVES COSTA</t>
        </is>
      </c>
      <c r="E114" s="25" t="inlineStr">
        <is>
          <t>QUADRA 18/LOTE 15</t>
        </is>
      </c>
      <c r="F114" s="43" t="inlineStr">
        <is>
          <t>QUITADO</t>
        </is>
      </c>
      <c r="G114" s="22" t="n">
        <v>0</v>
      </c>
      <c r="H114" s="20" t="n">
        <v>178</v>
      </c>
      <c r="I114" s="20" t="n">
        <v>18</v>
      </c>
      <c r="J114" s="21" t="n">
        <v>3386.37</v>
      </c>
      <c r="K114" s="44" t="n">
        <v>0</v>
      </c>
      <c r="L114" s="22" t="n">
        <v>0</v>
      </c>
      <c r="M114" s="22" t="n">
        <v>0</v>
      </c>
      <c r="N114" s="22" t="n">
        <v>0</v>
      </c>
      <c r="O114" s="22" t="n">
        <v>0</v>
      </c>
      <c r="P114" s="22" t="n">
        <v>0</v>
      </c>
      <c r="Q114" s="21" t="n">
        <v>0</v>
      </c>
      <c r="R114" s="20" t="n">
        <v>0</v>
      </c>
      <c r="S114" s="21" t="n">
        <v>0</v>
      </c>
      <c r="T114" s="22" t="n">
        <v>3386.37</v>
      </c>
      <c r="U114" s="23" t="n">
        <v>1</v>
      </c>
      <c r="V114" s="23" t="n">
        <v>0</v>
      </c>
      <c r="W114" s="23" t="n">
        <v>0</v>
      </c>
      <c r="X114" s="40" t="n"/>
      <c r="Y114" s="18" t="n"/>
      <c r="Z114" s="18" t="inlineStr">
        <is>
          <t>NÃO</t>
        </is>
      </c>
    </row>
    <row r="115">
      <c r="A115" s="18" t="inlineStr">
        <is>
          <t>16/CIDAN</t>
        </is>
      </c>
      <c r="B115" s="18" t="inlineStr">
        <is>
          <t>SPE - CIDADE NOVA LTDA</t>
        </is>
      </c>
      <c r="C115" s="18" t="inlineStr">
        <is>
          <t>223</t>
        </is>
      </c>
      <c r="D115" s="18" t="inlineStr">
        <is>
          <t>SERGIO ROBERTO DE SOUSA MARACAIPE</t>
        </is>
      </c>
      <c r="E115" s="25" t="inlineStr">
        <is>
          <t>QUADRA 20/LOTE 15</t>
        </is>
      </c>
      <c r="F115" s="43" t="inlineStr">
        <is>
          <t>QUITADO</t>
        </is>
      </c>
      <c r="G115" s="22" t="n">
        <v>0</v>
      </c>
      <c r="H115" s="20" t="n">
        <v>178</v>
      </c>
      <c r="I115" s="20" t="n">
        <v>2</v>
      </c>
      <c r="J115" s="21" t="n">
        <v>441.67</v>
      </c>
      <c r="K115" s="44" t="n">
        <v>0</v>
      </c>
      <c r="L115" s="22" t="n">
        <v>0</v>
      </c>
      <c r="M115" s="22" t="n">
        <v>0</v>
      </c>
      <c r="N115" s="22" t="n">
        <v>0</v>
      </c>
      <c r="O115" s="22" t="n">
        <v>0</v>
      </c>
      <c r="P115" s="22" t="n">
        <v>0</v>
      </c>
      <c r="Q115" s="21" t="n">
        <v>0</v>
      </c>
      <c r="R115" s="20" t="n">
        <v>0</v>
      </c>
      <c r="S115" s="21" t="n">
        <v>0</v>
      </c>
      <c r="T115" s="22" t="n">
        <v>441.67</v>
      </c>
      <c r="U115" s="23" t="n">
        <v>1</v>
      </c>
      <c r="V115" s="23" t="n">
        <v>0</v>
      </c>
      <c r="W115" s="23" t="n">
        <v>0</v>
      </c>
      <c r="X115" s="40" t="n"/>
      <c r="Y115" s="18" t="n"/>
      <c r="Z115" s="18" t="inlineStr">
        <is>
          <t>NÃO</t>
        </is>
      </c>
    </row>
    <row r="116">
      <c r="A116" s="18" t="inlineStr">
        <is>
          <t>16/CIDAN</t>
        </is>
      </c>
      <c r="B116" s="18" t="inlineStr">
        <is>
          <t>SPE - CIDADE NOVA LTDA</t>
        </is>
      </c>
      <c r="C116" s="18" t="inlineStr">
        <is>
          <t>225</t>
        </is>
      </c>
      <c r="D116" s="18" t="inlineStr">
        <is>
          <t>NILVA SOUSA MARQUES</t>
        </is>
      </c>
      <c r="E116" s="25" t="inlineStr">
        <is>
          <t>QUADRA 08/LOTE 21</t>
        </is>
      </c>
      <c r="F116" s="43" t="inlineStr">
        <is>
          <t>QUITADO</t>
        </is>
      </c>
      <c r="G116" s="22" t="n">
        <v>0</v>
      </c>
      <c r="H116" s="20" t="n">
        <v>178</v>
      </c>
      <c r="I116" s="20" t="n">
        <v>2</v>
      </c>
      <c r="J116" s="21" t="n">
        <v>411.49</v>
      </c>
      <c r="K116" s="44" t="n">
        <v>0</v>
      </c>
      <c r="L116" s="22" t="n">
        <v>0</v>
      </c>
      <c r="M116" s="22" t="n">
        <v>0</v>
      </c>
      <c r="N116" s="22" t="n">
        <v>0</v>
      </c>
      <c r="O116" s="22" t="n">
        <v>0</v>
      </c>
      <c r="P116" s="22" t="n">
        <v>0</v>
      </c>
      <c r="Q116" s="21" t="n">
        <v>0</v>
      </c>
      <c r="R116" s="20" t="n">
        <v>0</v>
      </c>
      <c r="S116" s="21" t="n">
        <v>0</v>
      </c>
      <c r="T116" s="22" t="n">
        <v>411.49</v>
      </c>
      <c r="U116" s="23" t="n">
        <v>1</v>
      </c>
      <c r="V116" s="23" t="n">
        <v>0</v>
      </c>
      <c r="W116" s="23" t="n">
        <v>0</v>
      </c>
      <c r="X116" s="40" t="n"/>
      <c r="Y116" s="18" t="n"/>
      <c r="Z116" s="18" t="inlineStr">
        <is>
          <t>NÃO</t>
        </is>
      </c>
    </row>
    <row r="117">
      <c r="A117" s="18" t="inlineStr">
        <is>
          <t>16/CIDAN</t>
        </is>
      </c>
      <c r="B117" s="18" t="inlineStr">
        <is>
          <t>SPE - CIDADE NOVA LTDA</t>
        </is>
      </c>
      <c r="C117" s="18" t="inlineStr">
        <is>
          <t>226</t>
        </is>
      </c>
      <c r="D117" s="18" t="inlineStr">
        <is>
          <t>NILVA SOUSA MARQUES</t>
        </is>
      </c>
      <c r="E117" s="25" t="inlineStr">
        <is>
          <t>QUADRA 08/LOTE 20</t>
        </is>
      </c>
      <c r="F117" s="43" t="inlineStr">
        <is>
          <t>QUITADO</t>
        </is>
      </c>
      <c r="G117" s="22" t="n">
        <v>0</v>
      </c>
      <c r="H117" s="20" t="n">
        <v>178</v>
      </c>
      <c r="I117" s="20" t="n">
        <v>2</v>
      </c>
      <c r="J117" s="21" t="n">
        <v>411.49</v>
      </c>
      <c r="K117" s="44" t="n">
        <v>0</v>
      </c>
      <c r="L117" s="22" t="n">
        <v>0</v>
      </c>
      <c r="M117" s="22" t="n">
        <v>0</v>
      </c>
      <c r="N117" s="22" t="n">
        <v>0</v>
      </c>
      <c r="O117" s="22" t="n">
        <v>0</v>
      </c>
      <c r="P117" s="22" t="n">
        <v>0</v>
      </c>
      <c r="Q117" s="21" t="n">
        <v>0</v>
      </c>
      <c r="R117" s="20" t="n">
        <v>0</v>
      </c>
      <c r="S117" s="21" t="n">
        <v>0</v>
      </c>
      <c r="T117" s="22" t="n">
        <v>411.49</v>
      </c>
      <c r="U117" s="23" t="n">
        <v>1</v>
      </c>
      <c r="V117" s="23" t="n">
        <v>0</v>
      </c>
      <c r="W117" s="23" t="n">
        <v>0</v>
      </c>
      <c r="X117" s="40" t="n"/>
      <c r="Y117" s="18" t="n"/>
      <c r="Z117" s="18" t="inlineStr">
        <is>
          <t>NÃO</t>
        </is>
      </c>
    </row>
    <row r="118">
      <c r="A118" s="18" t="inlineStr">
        <is>
          <t>16/CIDAN</t>
        </is>
      </c>
      <c r="B118" s="18" t="inlineStr">
        <is>
          <t>SPE - CIDADE NOVA LTDA</t>
        </is>
      </c>
      <c r="C118" s="18" t="inlineStr">
        <is>
          <t>228</t>
        </is>
      </c>
      <c r="D118" s="18" t="inlineStr">
        <is>
          <t>MARIA DIVINA OLIVEIRA DAMACENO</t>
        </is>
      </c>
      <c r="E118" s="25" t="inlineStr">
        <is>
          <t>QUADRA 11/LOTE 19</t>
        </is>
      </c>
      <c r="F118" s="43" t="inlineStr">
        <is>
          <t>QUITADO</t>
        </is>
      </c>
      <c r="G118" s="22" t="n">
        <v>0</v>
      </c>
      <c r="H118" s="20" t="n">
        <v>178</v>
      </c>
      <c r="I118" s="20" t="n">
        <v>1</v>
      </c>
      <c r="J118" s="21" t="n">
        <v>178.07</v>
      </c>
      <c r="K118" s="44" t="n">
        <v>0</v>
      </c>
      <c r="L118" s="22" t="n">
        <v>0</v>
      </c>
      <c r="M118" s="22" t="n">
        <v>0</v>
      </c>
      <c r="N118" s="22" t="n">
        <v>0</v>
      </c>
      <c r="O118" s="22" t="n">
        <v>0</v>
      </c>
      <c r="P118" s="22" t="n">
        <v>0</v>
      </c>
      <c r="Q118" s="21" t="n">
        <v>0</v>
      </c>
      <c r="R118" s="20" t="n">
        <v>0</v>
      </c>
      <c r="S118" s="21" t="n">
        <v>0</v>
      </c>
      <c r="T118" s="22" t="n">
        <v>178.07</v>
      </c>
      <c r="U118" s="23" t="n">
        <v>1</v>
      </c>
      <c r="V118" s="23" t="n">
        <v>0</v>
      </c>
      <c r="W118" s="23" t="n">
        <v>0</v>
      </c>
      <c r="X118" s="40" t="n"/>
      <c r="Y118" s="18" t="n"/>
      <c r="Z118" s="18" t="inlineStr">
        <is>
          <t>NÃO</t>
        </is>
      </c>
    </row>
    <row r="119">
      <c r="A119" s="18" t="inlineStr">
        <is>
          <t>16/CIDAN</t>
        </is>
      </c>
      <c r="B119" s="18" t="inlineStr">
        <is>
          <t>SPE - CIDADE NOVA LTDA</t>
        </is>
      </c>
      <c r="C119" s="18" t="inlineStr">
        <is>
          <t>235</t>
        </is>
      </c>
      <c r="D119" s="18" t="inlineStr">
        <is>
          <t>JALES DA CRUZ TORRES JUNIOR</t>
        </is>
      </c>
      <c r="E119" s="25" t="inlineStr">
        <is>
          <t>QUADRA 56/LOTE 10</t>
        </is>
      </c>
      <c r="F119" s="43" t="inlineStr">
        <is>
          <t>QUITADO</t>
        </is>
      </c>
      <c r="G119" s="22" t="n">
        <v>0</v>
      </c>
      <c r="H119" s="20" t="n">
        <v>178</v>
      </c>
      <c r="I119" s="20" t="n">
        <v>1</v>
      </c>
      <c r="J119" s="21" t="n">
        <v>196.83</v>
      </c>
      <c r="K119" s="44" t="n">
        <v>0</v>
      </c>
      <c r="L119" s="22" t="n">
        <v>0</v>
      </c>
      <c r="M119" s="22" t="n">
        <v>0</v>
      </c>
      <c r="N119" s="22" t="n">
        <v>0</v>
      </c>
      <c r="O119" s="22" t="n">
        <v>0</v>
      </c>
      <c r="P119" s="22" t="n">
        <v>0</v>
      </c>
      <c r="Q119" s="21" t="n">
        <v>0</v>
      </c>
      <c r="R119" s="20" t="n">
        <v>0</v>
      </c>
      <c r="S119" s="21" t="n">
        <v>0</v>
      </c>
      <c r="T119" s="22" t="n">
        <v>196.83</v>
      </c>
      <c r="U119" s="23" t="n">
        <v>1</v>
      </c>
      <c r="V119" s="23" t="n">
        <v>0</v>
      </c>
      <c r="W119" s="23" t="n">
        <v>0</v>
      </c>
      <c r="X119" s="40" t="n"/>
      <c r="Y119" s="18" t="n"/>
      <c r="Z119" s="18" t="inlineStr">
        <is>
          <t>NÃO</t>
        </is>
      </c>
    </row>
    <row r="120">
      <c r="A120" s="18" t="inlineStr">
        <is>
          <t>16/CIDAN</t>
        </is>
      </c>
      <c r="B120" s="18" t="inlineStr">
        <is>
          <t>SPE - CIDADE NOVA LTDA</t>
        </is>
      </c>
      <c r="C120" s="18" t="inlineStr">
        <is>
          <t>237</t>
        </is>
      </c>
      <c r="D120" s="18" t="inlineStr">
        <is>
          <t>EDER JOSE SANTOS FERREIRA</t>
        </is>
      </c>
      <c r="E120" s="25" t="inlineStr">
        <is>
          <t>QUADRA 01/LOTE 20</t>
        </is>
      </c>
      <c r="F120" s="43" t="inlineStr">
        <is>
          <t>QUITADO</t>
        </is>
      </c>
      <c r="G120" s="22" t="n">
        <v>0</v>
      </c>
      <c r="H120" s="20" t="n">
        <v>178</v>
      </c>
      <c r="I120" s="20" t="n">
        <v>3</v>
      </c>
      <c r="J120" s="21" t="n">
        <v>917.61</v>
      </c>
      <c r="K120" s="44" t="n">
        <v>0</v>
      </c>
      <c r="L120" s="22" t="n">
        <v>0</v>
      </c>
      <c r="M120" s="22" t="n">
        <v>0</v>
      </c>
      <c r="N120" s="22" t="n">
        <v>0</v>
      </c>
      <c r="O120" s="22" t="n">
        <v>0</v>
      </c>
      <c r="P120" s="22" t="n">
        <v>0</v>
      </c>
      <c r="Q120" s="21" t="n">
        <v>0</v>
      </c>
      <c r="R120" s="20" t="n">
        <v>0</v>
      </c>
      <c r="S120" s="21" t="n">
        <v>0</v>
      </c>
      <c r="T120" s="22" t="n">
        <v>917.61</v>
      </c>
      <c r="U120" s="23" t="n">
        <v>1</v>
      </c>
      <c r="V120" s="23" t="n">
        <v>0</v>
      </c>
      <c r="W120" s="23" t="n">
        <v>0</v>
      </c>
      <c r="X120" s="40" t="n"/>
      <c r="Y120" s="18" t="n"/>
      <c r="Z120" s="18" t="inlineStr">
        <is>
          <t>NÃO</t>
        </is>
      </c>
    </row>
    <row r="121">
      <c r="A121" s="18" t="inlineStr">
        <is>
          <t>16/CIDAN</t>
        </is>
      </c>
      <c r="B121" s="18" t="inlineStr">
        <is>
          <t>SPE - CIDADE NOVA LTDA</t>
        </is>
      </c>
      <c r="C121" s="18" t="inlineStr">
        <is>
          <t>238</t>
        </is>
      </c>
      <c r="D121" s="18" t="inlineStr">
        <is>
          <t>EDER JOSE SANTOS FERREIRA</t>
        </is>
      </c>
      <c r="E121" s="25" t="inlineStr">
        <is>
          <t>QUADRA 02/LOTE 03</t>
        </is>
      </c>
      <c r="F121" s="43" t="inlineStr">
        <is>
          <t>QUITADO</t>
        </is>
      </c>
      <c r="G121" s="22" t="n">
        <v>0</v>
      </c>
      <c r="H121" s="20" t="n">
        <v>178</v>
      </c>
      <c r="I121" s="20" t="n">
        <v>5</v>
      </c>
      <c r="J121" s="21" t="n">
        <v>1606.36</v>
      </c>
      <c r="K121" s="44" t="n">
        <v>0</v>
      </c>
      <c r="L121" s="22" t="n">
        <v>0</v>
      </c>
      <c r="M121" s="22" t="n">
        <v>0</v>
      </c>
      <c r="N121" s="22" t="n">
        <v>0</v>
      </c>
      <c r="O121" s="22" t="n">
        <v>0</v>
      </c>
      <c r="P121" s="22" t="n">
        <v>0</v>
      </c>
      <c r="Q121" s="21" t="n">
        <v>0</v>
      </c>
      <c r="R121" s="20" t="n">
        <v>0</v>
      </c>
      <c r="S121" s="21" t="n">
        <v>0</v>
      </c>
      <c r="T121" s="22" t="n">
        <v>1606.36</v>
      </c>
      <c r="U121" s="23" t="n">
        <v>1</v>
      </c>
      <c r="V121" s="23" t="n">
        <v>0</v>
      </c>
      <c r="W121" s="23" t="n">
        <v>0</v>
      </c>
      <c r="X121" s="40" t="n"/>
      <c r="Y121" s="18" t="n"/>
      <c r="Z121" s="18" t="inlineStr">
        <is>
          <t>NÃO</t>
        </is>
      </c>
    </row>
    <row r="122">
      <c r="A122" s="18" t="inlineStr">
        <is>
          <t>16/CIDAN</t>
        </is>
      </c>
      <c r="B122" s="18" t="inlineStr">
        <is>
          <t>SPE - CIDADE NOVA LTDA</t>
        </is>
      </c>
      <c r="C122" s="18" t="inlineStr">
        <is>
          <t>240</t>
        </is>
      </c>
      <c r="D122" s="18" t="inlineStr">
        <is>
          <t>LUIZ MOTA FERNANDEZ</t>
        </is>
      </c>
      <c r="E122" s="25" t="inlineStr">
        <is>
          <t>QUADRA 03/LOTE 10</t>
        </is>
      </c>
      <c r="F122" s="43" t="inlineStr">
        <is>
          <t>QUITADO</t>
        </is>
      </c>
      <c r="G122" s="22" t="n">
        <v>0</v>
      </c>
      <c r="H122" s="20" t="n">
        <v>178</v>
      </c>
      <c r="I122" s="20" t="n">
        <v>18</v>
      </c>
      <c r="J122" s="21" t="n">
        <v>5533.26</v>
      </c>
      <c r="K122" s="44" t="n">
        <v>0</v>
      </c>
      <c r="L122" s="22" t="n">
        <v>0</v>
      </c>
      <c r="M122" s="22" t="n">
        <v>0</v>
      </c>
      <c r="N122" s="22" t="n">
        <v>0</v>
      </c>
      <c r="O122" s="22" t="n">
        <v>0</v>
      </c>
      <c r="P122" s="22" t="n">
        <v>0</v>
      </c>
      <c r="Q122" s="21" t="n">
        <v>0</v>
      </c>
      <c r="R122" s="20" t="n">
        <v>0</v>
      </c>
      <c r="S122" s="21" t="n">
        <v>0</v>
      </c>
      <c r="T122" s="22" t="n">
        <v>5533.26</v>
      </c>
      <c r="U122" s="23" t="n">
        <v>1</v>
      </c>
      <c r="V122" s="23" t="n">
        <v>0</v>
      </c>
      <c r="W122" s="23" t="n">
        <v>0</v>
      </c>
      <c r="X122" s="40" t="n"/>
      <c r="Y122" s="18" t="n"/>
      <c r="Z122" s="18" t="inlineStr">
        <is>
          <t>NÃO</t>
        </is>
      </c>
    </row>
    <row r="123">
      <c r="A123" s="18" t="inlineStr">
        <is>
          <t>16/CIDAN</t>
        </is>
      </c>
      <c r="B123" s="18" t="inlineStr">
        <is>
          <t>SPE - CIDADE NOVA LTDA</t>
        </is>
      </c>
      <c r="C123" s="18" t="inlineStr">
        <is>
          <t>241</t>
        </is>
      </c>
      <c r="D123" s="18" t="inlineStr">
        <is>
          <t>ARIEL VARGAS DE ARAUJO</t>
        </is>
      </c>
      <c r="E123" s="25" t="inlineStr">
        <is>
          <t>QUADRA 04/LOTE 36</t>
        </is>
      </c>
      <c r="F123" s="43" t="inlineStr">
        <is>
          <t>QUITADO</t>
        </is>
      </c>
      <c r="G123" s="22" t="n">
        <v>0</v>
      </c>
      <c r="H123" s="20" t="n">
        <v>178</v>
      </c>
      <c r="I123" s="20" t="n">
        <v>2</v>
      </c>
      <c r="J123" s="21" t="n">
        <v>347.22</v>
      </c>
      <c r="K123" s="44" t="n">
        <v>0</v>
      </c>
      <c r="L123" s="22" t="n">
        <v>0</v>
      </c>
      <c r="M123" s="22" t="n">
        <v>0</v>
      </c>
      <c r="N123" s="22" t="n">
        <v>0</v>
      </c>
      <c r="O123" s="22" t="n">
        <v>0</v>
      </c>
      <c r="P123" s="22" t="n">
        <v>0</v>
      </c>
      <c r="Q123" s="21" t="n">
        <v>0</v>
      </c>
      <c r="R123" s="20" t="n">
        <v>0</v>
      </c>
      <c r="S123" s="21" t="n">
        <v>0</v>
      </c>
      <c r="T123" s="22" t="n">
        <v>347.22</v>
      </c>
      <c r="U123" s="23" t="n">
        <v>1</v>
      </c>
      <c r="V123" s="23" t="n">
        <v>0</v>
      </c>
      <c r="W123" s="23" t="n">
        <v>0</v>
      </c>
      <c r="X123" s="40" t="n"/>
      <c r="Y123" s="18" t="n"/>
      <c r="Z123" s="18" t="inlineStr">
        <is>
          <t>NÃO</t>
        </is>
      </c>
    </row>
    <row r="124">
      <c r="A124" s="18" t="inlineStr">
        <is>
          <t>16/CIDAN</t>
        </is>
      </c>
      <c r="B124" s="18" t="inlineStr">
        <is>
          <t>SPE - CIDADE NOVA LTDA</t>
        </is>
      </c>
      <c r="C124" s="18" t="inlineStr">
        <is>
          <t>245</t>
        </is>
      </c>
      <c r="D124" s="18" t="inlineStr">
        <is>
          <t>SEBASTIAO GREGORIO DA CUNHA</t>
        </is>
      </c>
      <c r="E124" s="25" t="inlineStr">
        <is>
          <t>QUADRA 38/LOTE 06</t>
        </is>
      </c>
      <c r="F124" s="43" t="inlineStr">
        <is>
          <t>QUITADO</t>
        </is>
      </c>
      <c r="G124" s="22" t="n">
        <v>0</v>
      </c>
      <c r="H124" s="20" t="n">
        <v>178</v>
      </c>
      <c r="I124" s="20" t="n">
        <v>1</v>
      </c>
      <c r="J124" s="21" t="n">
        <v>124.83</v>
      </c>
      <c r="K124" s="44" t="n">
        <v>0</v>
      </c>
      <c r="L124" s="22" t="n">
        <v>0</v>
      </c>
      <c r="M124" s="22" t="n">
        <v>0</v>
      </c>
      <c r="N124" s="22" t="n">
        <v>0</v>
      </c>
      <c r="O124" s="22" t="n">
        <v>0</v>
      </c>
      <c r="P124" s="22" t="n">
        <v>0</v>
      </c>
      <c r="Q124" s="21" t="n">
        <v>0</v>
      </c>
      <c r="R124" s="20" t="n">
        <v>0</v>
      </c>
      <c r="S124" s="21" t="n">
        <v>0</v>
      </c>
      <c r="T124" s="22" t="n">
        <v>124.83</v>
      </c>
      <c r="U124" s="23" t="n">
        <v>1</v>
      </c>
      <c r="V124" s="23" t="n">
        <v>0</v>
      </c>
      <c r="W124" s="23" t="n">
        <v>0</v>
      </c>
      <c r="X124" s="40" t="n"/>
      <c r="Y124" s="18" t="n"/>
      <c r="Z124" s="18" t="inlineStr">
        <is>
          <t>NÃO</t>
        </is>
      </c>
    </row>
    <row r="125">
      <c r="A125" s="18" t="inlineStr">
        <is>
          <t>16/CIDAN</t>
        </is>
      </c>
      <c r="B125" s="18" t="inlineStr">
        <is>
          <t>SPE - CIDADE NOVA LTDA</t>
        </is>
      </c>
      <c r="C125" s="18" t="inlineStr">
        <is>
          <t>253</t>
        </is>
      </c>
      <c r="D125" s="18" t="inlineStr">
        <is>
          <t>DORGIVAL SOUSA SILVA</t>
        </is>
      </c>
      <c r="E125" s="25" t="n"/>
      <c r="F125" s="43" t="inlineStr">
        <is>
          <t>QUITADO</t>
        </is>
      </c>
      <c r="G125" s="22" t="n">
        <v>0</v>
      </c>
      <c r="H125" s="20" t="n">
        <v>178</v>
      </c>
      <c r="I125" s="20" t="n">
        <v>1</v>
      </c>
      <c r="J125" s="21" t="n">
        <v>194.13</v>
      </c>
      <c r="K125" s="44" t="n">
        <v>0</v>
      </c>
      <c r="L125" s="22" t="n">
        <v>0</v>
      </c>
      <c r="M125" s="22" t="n">
        <v>0</v>
      </c>
      <c r="N125" s="22" t="n">
        <v>0</v>
      </c>
      <c r="O125" s="22" t="n">
        <v>0</v>
      </c>
      <c r="P125" s="22" t="n">
        <v>0</v>
      </c>
      <c r="Q125" s="21" t="n">
        <v>0</v>
      </c>
      <c r="R125" s="20" t="n">
        <v>0</v>
      </c>
      <c r="S125" s="21" t="n">
        <v>0</v>
      </c>
      <c r="T125" s="22" t="n">
        <v>194.13</v>
      </c>
      <c r="U125" s="23" t="n">
        <v>1</v>
      </c>
      <c r="V125" s="23" t="n">
        <v>0</v>
      </c>
      <c r="W125" s="23" t="n">
        <v>0</v>
      </c>
      <c r="X125" s="40" t="n"/>
      <c r="Y125" s="18" t="n"/>
      <c r="Z125" s="18" t="inlineStr">
        <is>
          <t>NÃO</t>
        </is>
      </c>
    </row>
    <row r="126">
      <c r="A126" s="18" t="inlineStr">
        <is>
          <t>16/CIDAN</t>
        </is>
      </c>
      <c r="B126" s="18" t="inlineStr">
        <is>
          <t>SPE - CIDADE NOVA LTDA</t>
        </is>
      </c>
      <c r="C126" s="18" t="inlineStr">
        <is>
          <t>254</t>
        </is>
      </c>
      <c r="D126" s="18" t="inlineStr">
        <is>
          <t>JANISAURA DE JESUS ROCHA</t>
        </is>
      </c>
      <c r="E126" s="25" t="inlineStr">
        <is>
          <t>QUADRA 71/LOTE 05</t>
        </is>
      </c>
      <c r="F126" s="43" t="inlineStr">
        <is>
          <t>QUITADO</t>
        </is>
      </c>
      <c r="G126" s="22" t="n">
        <v>0</v>
      </c>
      <c r="H126" s="20" t="n">
        <v>178</v>
      </c>
      <c r="I126" s="20" t="n">
        <v>4</v>
      </c>
      <c r="J126" s="21" t="n">
        <v>1302.92</v>
      </c>
      <c r="K126" s="44" t="n">
        <v>0</v>
      </c>
      <c r="L126" s="22" t="n">
        <v>0</v>
      </c>
      <c r="M126" s="22" t="n">
        <v>0</v>
      </c>
      <c r="N126" s="22" t="n">
        <v>0</v>
      </c>
      <c r="O126" s="22" t="n">
        <v>0</v>
      </c>
      <c r="P126" s="22" t="n">
        <v>0</v>
      </c>
      <c r="Q126" s="21" t="n">
        <v>0</v>
      </c>
      <c r="R126" s="20" t="n">
        <v>0</v>
      </c>
      <c r="S126" s="21" t="n">
        <v>0</v>
      </c>
      <c r="T126" s="22" t="n">
        <v>1302.92</v>
      </c>
      <c r="U126" s="23" t="n">
        <v>1</v>
      </c>
      <c r="V126" s="23" t="n">
        <v>0</v>
      </c>
      <c r="W126" s="23" t="n">
        <v>0</v>
      </c>
      <c r="X126" s="40" t="n"/>
      <c r="Y126" s="18" t="n"/>
      <c r="Z126" s="18" t="inlineStr">
        <is>
          <t>NÃO</t>
        </is>
      </c>
    </row>
    <row r="127">
      <c r="A127" s="18" t="inlineStr">
        <is>
          <t>16/CIDAN</t>
        </is>
      </c>
      <c r="B127" s="18" t="inlineStr">
        <is>
          <t>SPE - CIDADE NOVA LTDA</t>
        </is>
      </c>
      <c r="C127" s="18" t="inlineStr">
        <is>
          <t>255</t>
        </is>
      </c>
      <c r="D127" s="18" t="inlineStr">
        <is>
          <t>JANISAURA DE JESUS ROCHA</t>
        </is>
      </c>
      <c r="E127" s="25" t="inlineStr">
        <is>
          <t>QUADRA 65/LOTE 20</t>
        </is>
      </c>
      <c r="F127" s="43" t="inlineStr">
        <is>
          <t>QUITADO</t>
        </is>
      </c>
      <c r="G127" s="22" t="n">
        <v>0</v>
      </c>
      <c r="H127" s="20" t="n">
        <v>178</v>
      </c>
      <c r="I127" s="20" t="n">
        <v>4</v>
      </c>
      <c r="J127" s="21" t="n">
        <v>1171.72</v>
      </c>
      <c r="K127" s="44" t="n">
        <v>0</v>
      </c>
      <c r="L127" s="22" t="n">
        <v>0</v>
      </c>
      <c r="M127" s="22" t="n">
        <v>0</v>
      </c>
      <c r="N127" s="22" t="n">
        <v>0</v>
      </c>
      <c r="O127" s="22" t="n">
        <v>0</v>
      </c>
      <c r="P127" s="22" t="n">
        <v>0</v>
      </c>
      <c r="Q127" s="21" t="n">
        <v>0</v>
      </c>
      <c r="R127" s="20" t="n">
        <v>0</v>
      </c>
      <c r="S127" s="21" t="n">
        <v>0</v>
      </c>
      <c r="T127" s="22" t="n">
        <v>1171.72</v>
      </c>
      <c r="U127" s="23" t="n">
        <v>1</v>
      </c>
      <c r="V127" s="23" t="n">
        <v>0</v>
      </c>
      <c r="W127" s="23" t="n">
        <v>0</v>
      </c>
      <c r="X127" s="40" t="n"/>
      <c r="Y127" s="18" t="n"/>
      <c r="Z127" s="18" t="inlineStr">
        <is>
          <t>NÃO</t>
        </is>
      </c>
    </row>
    <row r="128">
      <c r="A128" s="18" t="inlineStr">
        <is>
          <t>16/CIDAN</t>
        </is>
      </c>
      <c r="B128" s="18" t="inlineStr">
        <is>
          <t>SPE - CIDADE NOVA LTDA</t>
        </is>
      </c>
      <c r="C128" s="18" t="inlineStr">
        <is>
          <t>260</t>
        </is>
      </c>
      <c r="D128" s="18" t="inlineStr">
        <is>
          <t>EDVALDO ALVES MOREIRA DOS SANTOS</t>
        </is>
      </c>
      <c r="E128" s="25" t="inlineStr">
        <is>
          <t>QUADRA 20/LOTE 14</t>
        </is>
      </c>
      <c r="F128" s="43" t="inlineStr">
        <is>
          <t>QUITADO</t>
        </is>
      </c>
      <c r="G128" s="22" t="n">
        <v>0</v>
      </c>
      <c r="H128" s="20" t="n">
        <v>178</v>
      </c>
      <c r="I128" s="20" t="n">
        <v>3</v>
      </c>
      <c r="J128" s="21" t="n">
        <v>531.66</v>
      </c>
      <c r="K128" s="44" t="n">
        <v>0</v>
      </c>
      <c r="L128" s="22" t="n">
        <v>0</v>
      </c>
      <c r="M128" s="22" t="n">
        <v>0</v>
      </c>
      <c r="N128" s="22" t="n">
        <v>0</v>
      </c>
      <c r="O128" s="22" t="n">
        <v>0</v>
      </c>
      <c r="P128" s="22" t="n">
        <v>0</v>
      </c>
      <c r="Q128" s="21" t="n">
        <v>0</v>
      </c>
      <c r="R128" s="20" t="n">
        <v>0</v>
      </c>
      <c r="S128" s="21" t="n">
        <v>0</v>
      </c>
      <c r="T128" s="22" t="n">
        <v>531.66</v>
      </c>
      <c r="U128" s="23" t="n">
        <v>1</v>
      </c>
      <c r="V128" s="23" t="n">
        <v>0</v>
      </c>
      <c r="W128" s="23" t="n">
        <v>0</v>
      </c>
      <c r="X128" s="40" t="n"/>
      <c r="Y128" s="18" t="n"/>
      <c r="Z128" s="18" t="inlineStr">
        <is>
          <t>NÃO</t>
        </is>
      </c>
    </row>
    <row r="129">
      <c r="A129" s="18" t="inlineStr">
        <is>
          <t>16/CIDAN</t>
        </is>
      </c>
      <c r="B129" s="18" t="inlineStr">
        <is>
          <t>SPE - CIDADE NOVA LTDA</t>
        </is>
      </c>
      <c r="C129" s="18" t="inlineStr">
        <is>
          <t>262</t>
        </is>
      </c>
      <c r="D129" s="18" t="inlineStr">
        <is>
          <t>ANDREIA CASTRO RODRIGUES</t>
        </is>
      </c>
      <c r="E129" s="25" t="inlineStr">
        <is>
          <t>QUADRA 19/LOTE 14</t>
        </is>
      </c>
      <c r="F129" s="43" t="inlineStr">
        <is>
          <t>QUITADO</t>
        </is>
      </c>
      <c r="G129" s="22" t="n">
        <v>0</v>
      </c>
      <c r="H129" s="20" t="n">
        <v>178</v>
      </c>
      <c r="I129" s="20" t="n">
        <v>3</v>
      </c>
      <c r="J129" s="21" t="n">
        <v>516.26</v>
      </c>
      <c r="K129" s="44" t="n">
        <v>0</v>
      </c>
      <c r="L129" s="22" t="n">
        <v>0</v>
      </c>
      <c r="M129" s="22" t="n">
        <v>0</v>
      </c>
      <c r="N129" s="22" t="n">
        <v>0</v>
      </c>
      <c r="O129" s="22" t="n">
        <v>0</v>
      </c>
      <c r="P129" s="22" t="n">
        <v>0</v>
      </c>
      <c r="Q129" s="21" t="n">
        <v>0</v>
      </c>
      <c r="R129" s="20" t="n">
        <v>0</v>
      </c>
      <c r="S129" s="21" t="n">
        <v>0</v>
      </c>
      <c r="T129" s="22" t="n">
        <v>516.26</v>
      </c>
      <c r="U129" s="23" t="n">
        <v>1</v>
      </c>
      <c r="V129" s="23" t="n">
        <v>0</v>
      </c>
      <c r="W129" s="23" t="n">
        <v>0</v>
      </c>
      <c r="X129" s="40" t="n"/>
      <c r="Y129" s="18" t="n"/>
      <c r="Z129" s="18" t="inlineStr">
        <is>
          <t>NÃO</t>
        </is>
      </c>
    </row>
    <row r="130">
      <c r="A130" s="18" t="inlineStr">
        <is>
          <t>16/CIDAN</t>
        </is>
      </c>
      <c r="B130" s="18" t="inlineStr">
        <is>
          <t>SPE - CIDADE NOVA LTDA</t>
        </is>
      </c>
      <c r="C130" s="18" t="inlineStr">
        <is>
          <t>263</t>
        </is>
      </c>
      <c r="D130" s="18" t="inlineStr">
        <is>
          <t>LUIZ ESTEVÃO SANTOS</t>
        </is>
      </c>
      <c r="E130" s="25" t="inlineStr">
        <is>
          <t>QUADRA 09/LOTE 21</t>
        </is>
      </c>
      <c r="F130" s="43" t="inlineStr">
        <is>
          <t>QUITADO</t>
        </is>
      </c>
      <c r="G130" s="22" t="n">
        <v>0</v>
      </c>
      <c r="H130" s="20" t="n">
        <v>178</v>
      </c>
      <c r="I130" s="20" t="n">
        <v>5</v>
      </c>
      <c r="J130" s="21" t="n">
        <v>1013.05</v>
      </c>
      <c r="K130" s="44" t="n">
        <v>0</v>
      </c>
      <c r="L130" s="22" t="n">
        <v>0</v>
      </c>
      <c r="M130" s="22" t="n">
        <v>0</v>
      </c>
      <c r="N130" s="22" t="n">
        <v>0</v>
      </c>
      <c r="O130" s="22" t="n">
        <v>0</v>
      </c>
      <c r="P130" s="22" t="n">
        <v>0</v>
      </c>
      <c r="Q130" s="21" t="n">
        <v>0</v>
      </c>
      <c r="R130" s="20" t="n">
        <v>0</v>
      </c>
      <c r="S130" s="21" t="n">
        <v>0</v>
      </c>
      <c r="T130" s="22" t="n">
        <v>1013.05</v>
      </c>
      <c r="U130" s="23" t="n">
        <v>1</v>
      </c>
      <c r="V130" s="23" t="n">
        <v>0</v>
      </c>
      <c r="W130" s="23" t="n">
        <v>0</v>
      </c>
      <c r="X130" s="40" t="n"/>
      <c r="Y130" s="18" t="n"/>
      <c r="Z130" s="18" t="inlineStr">
        <is>
          <t>NÃO</t>
        </is>
      </c>
    </row>
    <row r="131">
      <c r="A131" s="18" t="inlineStr">
        <is>
          <t>16/CIDAN</t>
        </is>
      </c>
      <c r="B131" s="18" t="inlineStr">
        <is>
          <t>SPE - CIDADE NOVA LTDA</t>
        </is>
      </c>
      <c r="C131" s="18" t="inlineStr">
        <is>
          <t>264</t>
        </is>
      </c>
      <c r="D131" s="18" t="inlineStr">
        <is>
          <t>VALMIR ANTONIO RIBEIRO</t>
        </is>
      </c>
      <c r="E131" s="25" t="inlineStr">
        <is>
          <t>QUADRA 20/LOTE 17</t>
        </is>
      </c>
      <c r="F131" s="43" t="inlineStr">
        <is>
          <t>QUITADO</t>
        </is>
      </c>
      <c r="G131" s="22" t="n">
        <v>0</v>
      </c>
      <c r="H131" s="20" t="n">
        <v>178</v>
      </c>
      <c r="I131" s="20" t="n">
        <v>3</v>
      </c>
      <c r="J131" s="21" t="n">
        <v>574.62</v>
      </c>
      <c r="K131" s="44" t="n">
        <v>0</v>
      </c>
      <c r="L131" s="22" t="n">
        <v>0</v>
      </c>
      <c r="M131" s="22" t="n">
        <v>0</v>
      </c>
      <c r="N131" s="22" t="n">
        <v>0</v>
      </c>
      <c r="O131" s="22" t="n">
        <v>0</v>
      </c>
      <c r="P131" s="22" t="n">
        <v>0</v>
      </c>
      <c r="Q131" s="21" t="n">
        <v>0</v>
      </c>
      <c r="R131" s="20" t="n">
        <v>0</v>
      </c>
      <c r="S131" s="21" t="n">
        <v>0</v>
      </c>
      <c r="T131" s="22" t="n">
        <v>574.62</v>
      </c>
      <c r="U131" s="23" t="n">
        <v>1</v>
      </c>
      <c r="V131" s="23" t="n">
        <v>0</v>
      </c>
      <c r="W131" s="23" t="n">
        <v>0</v>
      </c>
      <c r="X131" s="40" t="n"/>
      <c r="Y131" s="18" t="n"/>
      <c r="Z131" s="18" t="inlineStr">
        <is>
          <t>NÃO</t>
        </is>
      </c>
    </row>
    <row r="132">
      <c r="A132" s="18" t="inlineStr">
        <is>
          <t>16/CIDAN</t>
        </is>
      </c>
      <c r="B132" s="18" t="inlineStr">
        <is>
          <t>SPE - CIDADE NOVA LTDA</t>
        </is>
      </c>
      <c r="C132" s="18" t="inlineStr">
        <is>
          <t>266</t>
        </is>
      </c>
      <c r="D132" s="18" t="inlineStr">
        <is>
          <t>LEONARDO RODRIGUES PEREIRA</t>
        </is>
      </c>
      <c r="E132" s="25" t="inlineStr">
        <is>
          <t>QUADRA 16/LOTE 19</t>
        </is>
      </c>
      <c r="F132" s="43" t="inlineStr">
        <is>
          <t>QUITADO</t>
        </is>
      </c>
      <c r="G132" s="22" t="n">
        <v>0</v>
      </c>
      <c r="H132" s="20" t="n">
        <v>178</v>
      </c>
      <c r="I132" s="20" t="n">
        <v>6</v>
      </c>
      <c r="J132" s="21" t="n">
        <v>874.98</v>
      </c>
      <c r="K132" s="44" t="n">
        <v>0</v>
      </c>
      <c r="L132" s="22" t="n">
        <v>0</v>
      </c>
      <c r="M132" s="22" t="n">
        <v>0</v>
      </c>
      <c r="N132" s="22" t="n">
        <v>0</v>
      </c>
      <c r="O132" s="22" t="n">
        <v>0</v>
      </c>
      <c r="P132" s="22" t="n">
        <v>0</v>
      </c>
      <c r="Q132" s="21" t="n">
        <v>0</v>
      </c>
      <c r="R132" s="20" t="n">
        <v>0</v>
      </c>
      <c r="S132" s="21" t="n">
        <v>0</v>
      </c>
      <c r="T132" s="22" t="n">
        <v>874.98</v>
      </c>
      <c r="U132" s="23" t="n">
        <v>1</v>
      </c>
      <c r="V132" s="23" t="n">
        <v>0</v>
      </c>
      <c r="W132" s="23" t="n">
        <v>0</v>
      </c>
      <c r="X132" s="40" t="n"/>
      <c r="Y132" s="18" t="n"/>
      <c r="Z132" s="18" t="inlineStr">
        <is>
          <t>NÃO</t>
        </is>
      </c>
    </row>
    <row r="133">
      <c r="A133" s="18" t="inlineStr">
        <is>
          <t>16/CIDAN</t>
        </is>
      </c>
      <c r="B133" s="18" t="inlineStr">
        <is>
          <t>SPE - CIDADE NOVA LTDA</t>
        </is>
      </c>
      <c r="C133" s="18" t="inlineStr">
        <is>
          <t>267</t>
        </is>
      </c>
      <c r="D133" s="18" t="inlineStr">
        <is>
          <t>LEONARDO RODRIGUES PEREIRA</t>
        </is>
      </c>
      <c r="E133" s="25" t="inlineStr">
        <is>
          <t>QUADRA 16/LOTE 18</t>
        </is>
      </c>
      <c r="F133" s="43" t="inlineStr">
        <is>
          <t>QUITADO</t>
        </is>
      </c>
      <c r="G133" s="22" t="n">
        <v>0</v>
      </c>
      <c r="H133" s="20" t="n">
        <v>178</v>
      </c>
      <c r="I133" s="20" t="n">
        <v>6</v>
      </c>
      <c r="J133" s="21" t="n">
        <v>874.98</v>
      </c>
      <c r="K133" s="44" t="n">
        <v>0</v>
      </c>
      <c r="L133" s="22" t="n">
        <v>0</v>
      </c>
      <c r="M133" s="22" t="n">
        <v>0</v>
      </c>
      <c r="N133" s="22" t="n">
        <v>0</v>
      </c>
      <c r="O133" s="22" t="n">
        <v>0</v>
      </c>
      <c r="P133" s="22" t="n">
        <v>0</v>
      </c>
      <c r="Q133" s="21" t="n">
        <v>0</v>
      </c>
      <c r="R133" s="20" t="n">
        <v>0</v>
      </c>
      <c r="S133" s="21" t="n">
        <v>0</v>
      </c>
      <c r="T133" s="22" t="n">
        <v>874.98</v>
      </c>
      <c r="U133" s="23" t="n">
        <v>1</v>
      </c>
      <c r="V133" s="23" t="n">
        <v>0</v>
      </c>
      <c r="W133" s="23" t="n">
        <v>0</v>
      </c>
      <c r="X133" s="40" t="n"/>
      <c r="Y133" s="18" t="n"/>
      <c r="Z133" s="18" t="inlineStr">
        <is>
          <t>NÃO</t>
        </is>
      </c>
    </row>
    <row r="134">
      <c r="A134" s="18" t="inlineStr">
        <is>
          <t>16/CIDAN</t>
        </is>
      </c>
      <c r="B134" s="18" t="inlineStr">
        <is>
          <t>SPE - CIDADE NOVA LTDA</t>
        </is>
      </c>
      <c r="C134" s="18" t="inlineStr">
        <is>
          <t>269</t>
        </is>
      </c>
      <c r="D134" s="18" t="inlineStr">
        <is>
          <t>OSIMAR SILVA SANTOS</t>
        </is>
      </c>
      <c r="E134" s="25" t="inlineStr">
        <is>
          <t>QUADRA 20/LOTE 06</t>
        </is>
      </c>
      <c r="F134" s="43" t="inlineStr">
        <is>
          <t>QUITADO</t>
        </is>
      </c>
      <c r="G134" s="22" t="n">
        <v>0</v>
      </c>
      <c r="H134" s="20" t="n">
        <v>178</v>
      </c>
      <c r="I134" s="20" t="n">
        <v>17</v>
      </c>
      <c r="J134" s="21" t="n">
        <v>3088.54</v>
      </c>
      <c r="K134" s="44" t="n">
        <v>0</v>
      </c>
      <c r="L134" s="22" t="n">
        <v>0</v>
      </c>
      <c r="M134" s="22" t="n">
        <v>0</v>
      </c>
      <c r="N134" s="22" t="n">
        <v>0</v>
      </c>
      <c r="O134" s="22" t="n">
        <v>0</v>
      </c>
      <c r="P134" s="22" t="n">
        <v>0</v>
      </c>
      <c r="Q134" s="21" t="n">
        <v>0</v>
      </c>
      <c r="R134" s="20" t="n">
        <v>0</v>
      </c>
      <c r="S134" s="21" t="n">
        <v>0</v>
      </c>
      <c r="T134" s="22" t="n">
        <v>3088.54</v>
      </c>
      <c r="U134" s="23" t="n">
        <v>1</v>
      </c>
      <c r="V134" s="23" t="n">
        <v>0</v>
      </c>
      <c r="W134" s="23" t="n">
        <v>0</v>
      </c>
      <c r="X134" s="40" t="n"/>
      <c r="Y134" s="18" t="n"/>
      <c r="Z134" s="18" t="inlineStr">
        <is>
          <t>NÃO</t>
        </is>
      </c>
    </row>
    <row r="135">
      <c r="A135" s="18" t="inlineStr">
        <is>
          <t>16/CIDAN</t>
        </is>
      </c>
      <c r="B135" s="18" t="inlineStr">
        <is>
          <t>SPE - CIDADE NOVA LTDA</t>
        </is>
      </c>
      <c r="C135" s="18" t="inlineStr">
        <is>
          <t>272</t>
        </is>
      </c>
      <c r="D135" s="18" t="inlineStr">
        <is>
          <t>ZENAIDE DA SILVA VIEIRA</t>
        </is>
      </c>
      <c r="E135" s="25" t="inlineStr">
        <is>
          <t>QUADRA 03/LOTE 11</t>
        </is>
      </c>
      <c r="F135" s="43" t="inlineStr">
        <is>
          <t>QUITADO</t>
        </is>
      </c>
      <c r="G135" s="22" t="n">
        <v>0</v>
      </c>
      <c r="H135" s="20" t="n">
        <v>178</v>
      </c>
      <c r="I135" s="20" t="n">
        <v>36</v>
      </c>
      <c r="J135" s="21" t="n">
        <v>11636.54</v>
      </c>
      <c r="K135" s="44" t="n">
        <v>0</v>
      </c>
      <c r="L135" s="22" t="n">
        <v>0</v>
      </c>
      <c r="M135" s="22" t="n">
        <v>0</v>
      </c>
      <c r="N135" s="22" t="n">
        <v>0</v>
      </c>
      <c r="O135" s="22" t="n">
        <v>0</v>
      </c>
      <c r="P135" s="22" t="n">
        <v>0</v>
      </c>
      <c r="Q135" s="21" t="n">
        <v>0</v>
      </c>
      <c r="R135" s="20" t="n">
        <v>0</v>
      </c>
      <c r="S135" s="21" t="n">
        <v>0</v>
      </c>
      <c r="T135" s="22" t="n">
        <v>11636.54</v>
      </c>
      <c r="U135" s="23" t="n">
        <v>1</v>
      </c>
      <c r="V135" s="23" t="n">
        <v>0</v>
      </c>
      <c r="W135" s="23" t="n">
        <v>0</v>
      </c>
      <c r="X135" s="40" t="n"/>
      <c r="Y135" s="18" t="n"/>
      <c r="Z135" s="18" t="inlineStr">
        <is>
          <t>NÃO</t>
        </is>
      </c>
    </row>
    <row r="136">
      <c r="A136" s="18" t="inlineStr">
        <is>
          <t>16/CIDAN</t>
        </is>
      </c>
      <c r="B136" s="18" t="inlineStr">
        <is>
          <t>SPE - CIDADE NOVA LTDA</t>
        </is>
      </c>
      <c r="C136" s="18" t="inlineStr">
        <is>
          <t>274</t>
        </is>
      </c>
      <c r="D136" s="18" t="inlineStr">
        <is>
          <t>RAIMUNDO NONATO AMARAL SILVA</t>
        </is>
      </c>
      <c r="E136" s="25" t="inlineStr">
        <is>
          <t>QUADRA 39/LOTE 11</t>
        </is>
      </c>
      <c r="F136" s="43" t="inlineStr">
        <is>
          <t>QUITADO</t>
        </is>
      </c>
      <c r="G136" s="22" t="n">
        <v>0</v>
      </c>
      <c r="H136" s="20" t="n">
        <v>178</v>
      </c>
      <c r="I136" s="20" t="n">
        <v>11</v>
      </c>
      <c r="J136" s="21" t="n">
        <v>1292.38</v>
      </c>
      <c r="K136" s="44" t="n">
        <v>0</v>
      </c>
      <c r="L136" s="22" t="n">
        <v>0</v>
      </c>
      <c r="M136" s="22" t="n">
        <v>0</v>
      </c>
      <c r="N136" s="22" t="n">
        <v>0</v>
      </c>
      <c r="O136" s="22" t="n">
        <v>0</v>
      </c>
      <c r="P136" s="22" t="n">
        <v>0</v>
      </c>
      <c r="Q136" s="21" t="n">
        <v>0</v>
      </c>
      <c r="R136" s="20" t="n">
        <v>0</v>
      </c>
      <c r="S136" s="21" t="n">
        <v>0</v>
      </c>
      <c r="T136" s="22" t="n">
        <v>1292.38</v>
      </c>
      <c r="U136" s="23" t="n">
        <v>1</v>
      </c>
      <c r="V136" s="23" t="n">
        <v>0</v>
      </c>
      <c r="W136" s="23" t="n">
        <v>0</v>
      </c>
      <c r="X136" s="40" t="n"/>
      <c r="Y136" s="18" t="n"/>
      <c r="Z136" s="18" t="inlineStr">
        <is>
          <t>NÃO</t>
        </is>
      </c>
    </row>
    <row r="137">
      <c r="A137" s="18" t="inlineStr">
        <is>
          <t>16/CIDAN</t>
        </is>
      </c>
      <c r="B137" s="18" t="inlineStr">
        <is>
          <t>SPE - CIDADE NOVA LTDA</t>
        </is>
      </c>
      <c r="C137" s="18" t="inlineStr">
        <is>
          <t>275</t>
        </is>
      </c>
      <c r="D137" s="18" t="inlineStr">
        <is>
          <t>SIDCLEY GONÇALVES COSTA</t>
        </is>
      </c>
      <c r="E137" s="25" t="inlineStr">
        <is>
          <t>QUADRA 18/LOTE 17</t>
        </is>
      </c>
      <c r="F137" s="43" t="inlineStr">
        <is>
          <t>QUITADO</t>
        </is>
      </c>
      <c r="G137" s="22" t="n">
        <v>0</v>
      </c>
      <c r="H137" s="20" t="n">
        <v>178</v>
      </c>
      <c r="I137" s="20" t="n">
        <v>23</v>
      </c>
      <c r="J137" s="21" t="n">
        <v>4896.83</v>
      </c>
      <c r="K137" s="44" t="n">
        <v>0</v>
      </c>
      <c r="L137" s="22" t="n">
        <v>0</v>
      </c>
      <c r="M137" s="22" t="n">
        <v>0</v>
      </c>
      <c r="N137" s="22" t="n">
        <v>0</v>
      </c>
      <c r="O137" s="22" t="n">
        <v>0</v>
      </c>
      <c r="P137" s="22" t="n">
        <v>0</v>
      </c>
      <c r="Q137" s="21" t="n">
        <v>0</v>
      </c>
      <c r="R137" s="20" t="n">
        <v>0</v>
      </c>
      <c r="S137" s="21" t="n">
        <v>0</v>
      </c>
      <c r="T137" s="22" t="n">
        <v>4896.83</v>
      </c>
      <c r="U137" s="23" t="n">
        <v>1</v>
      </c>
      <c r="V137" s="23" t="n">
        <v>0</v>
      </c>
      <c r="W137" s="23" t="n">
        <v>0</v>
      </c>
      <c r="X137" s="40" t="n"/>
      <c r="Y137" s="18" t="n"/>
      <c r="Z137" s="18" t="inlineStr">
        <is>
          <t>NÃO</t>
        </is>
      </c>
    </row>
    <row r="138">
      <c r="A138" s="18" t="inlineStr">
        <is>
          <t>16/CIDAN</t>
        </is>
      </c>
      <c r="B138" s="18" t="inlineStr">
        <is>
          <t>SPE - CIDADE NOVA LTDA</t>
        </is>
      </c>
      <c r="C138" s="18" t="inlineStr">
        <is>
          <t>281</t>
        </is>
      </c>
      <c r="D138" s="18" t="inlineStr">
        <is>
          <t>EUNICE RODRIGUES DE SOUSA</t>
        </is>
      </c>
      <c r="E138" s="25" t="inlineStr">
        <is>
          <t>QUADRA 14/LOTE 15</t>
        </is>
      </c>
      <c r="F138" s="43" t="inlineStr">
        <is>
          <t>QUITADO</t>
        </is>
      </c>
      <c r="G138" s="22" t="n">
        <v>0</v>
      </c>
      <c r="H138" s="20" t="n">
        <v>178</v>
      </c>
      <c r="I138" s="20" t="n">
        <v>10</v>
      </c>
      <c r="J138" s="21" t="n">
        <v>1872.99</v>
      </c>
      <c r="K138" s="44" t="n">
        <v>0</v>
      </c>
      <c r="L138" s="22" t="n">
        <v>0</v>
      </c>
      <c r="M138" s="22" t="n">
        <v>0</v>
      </c>
      <c r="N138" s="22" t="n">
        <v>0</v>
      </c>
      <c r="O138" s="22" t="n">
        <v>0</v>
      </c>
      <c r="P138" s="22" t="n">
        <v>0</v>
      </c>
      <c r="Q138" s="21" t="n">
        <v>0</v>
      </c>
      <c r="R138" s="20" t="n">
        <v>0</v>
      </c>
      <c r="S138" s="21" t="n">
        <v>0</v>
      </c>
      <c r="T138" s="22" t="n">
        <v>1872.99</v>
      </c>
      <c r="U138" s="23" t="n">
        <v>1</v>
      </c>
      <c r="V138" s="23" t="n">
        <v>0</v>
      </c>
      <c r="W138" s="23" t="n">
        <v>0</v>
      </c>
      <c r="X138" s="40" t="n"/>
      <c r="Y138" s="18" t="n"/>
      <c r="Z138" s="18" t="inlineStr">
        <is>
          <t>NÃO</t>
        </is>
      </c>
    </row>
    <row r="139">
      <c r="A139" s="18" t="inlineStr">
        <is>
          <t>16/CIDAN</t>
        </is>
      </c>
      <c r="B139" s="18" t="inlineStr">
        <is>
          <t>SPE - CIDADE NOVA LTDA</t>
        </is>
      </c>
      <c r="C139" s="18" t="inlineStr">
        <is>
          <t>282</t>
        </is>
      </c>
      <c r="D139" s="18" t="inlineStr">
        <is>
          <t>AMARILDO RODRIGUES FORTALEZA</t>
        </is>
      </c>
      <c r="E139" s="25" t="inlineStr">
        <is>
          <t>QUADRA 14/LOTE 05</t>
        </is>
      </c>
      <c r="F139" s="43" t="inlineStr">
        <is>
          <t>QUITADO</t>
        </is>
      </c>
      <c r="G139" s="22" t="n">
        <v>0</v>
      </c>
      <c r="H139" s="20" t="n">
        <v>178</v>
      </c>
      <c r="I139" s="20" t="n">
        <v>16</v>
      </c>
      <c r="J139" s="21" t="n">
        <v>2874.01</v>
      </c>
      <c r="K139" s="44" t="n">
        <v>0</v>
      </c>
      <c r="L139" s="22" t="n">
        <v>0</v>
      </c>
      <c r="M139" s="22" t="n">
        <v>0</v>
      </c>
      <c r="N139" s="22" t="n">
        <v>0</v>
      </c>
      <c r="O139" s="22" t="n">
        <v>0</v>
      </c>
      <c r="P139" s="22" t="n">
        <v>0</v>
      </c>
      <c r="Q139" s="21" t="n">
        <v>0</v>
      </c>
      <c r="R139" s="20" t="n">
        <v>0</v>
      </c>
      <c r="S139" s="21" t="n">
        <v>0</v>
      </c>
      <c r="T139" s="22" t="n">
        <v>2874.01</v>
      </c>
      <c r="U139" s="23" t="n">
        <v>1</v>
      </c>
      <c r="V139" s="23" t="n">
        <v>0</v>
      </c>
      <c r="W139" s="23" t="n">
        <v>0</v>
      </c>
      <c r="X139" s="40" t="n"/>
      <c r="Y139" s="18" t="n"/>
      <c r="Z139" s="18" t="inlineStr">
        <is>
          <t>NÃO</t>
        </is>
      </c>
    </row>
    <row r="140">
      <c r="A140" s="18" t="inlineStr">
        <is>
          <t>16/CIDAN</t>
        </is>
      </c>
      <c r="B140" s="18" t="inlineStr">
        <is>
          <t>SPE - CIDADE NOVA LTDA</t>
        </is>
      </c>
      <c r="C140" s="18" t="inlineStr">
        <is>
          <t>283</t>
        </is>
      </c>
      <c r="D140" s="18" t="inlineStr">
        <is>
          <t>JOAO HILTON RAMOS</t>
        </is>
      </c>
      <c r="E140" s="25" t="inlineStr">
        <is>
          <t>QUADRA 54/LOTE 18</t>
        </is>
      </c>
      <c r="F140" s="43" t="inlineStr">
        <is>
          <t>QUITADO</t>
        </is>
      </c>
      <c r="G140" s="22" t="n">
        <v>0</v>
      </c>
      <c r="H140" s="20" t="n">
        <v>178</v>
      </c>
      <c r="I140" s="20" t="n">
        <v>13</v>
      </c>
      <c r="J140" s="21" t="n">
        <v>2659.44</v>
      </c>
      <c r="K140" s="44" t="n">
        <v>0</v>
      </c>
      <c r="L140" s="22" t="n">
        <v>0</v>
      </c>
      <c r="M140" s="22" t="n">
        <v>0</v>
      </c>
      <c r="N140" s="22" t="n">
        <v>0</v>
      </c>
      <c r="O140" s="22" t="n">
        <v>0</v>
      </c>
      <c r="P140" s="22" t="n">
        <v>0</v>
      </c>
      <c r="Q140" s="21" t="n">
        <v>0</v>
      </c>
      <c r="R140" s="20" t="n">
        <v>0</v>
      </c>
      <c r="S140" s="21" t="n">
        <v>0</v>
      </c>
      <c r="T140" s="22" t="n">
        <v>2659.44</v>
      </c>
      <c r="U140" s="23" t="n">
        <v>1</v>
      </c>
      <c r="V140" s="23" t="n">
        <v>0</v>
      </c>
      <c r="W140" s="23" t="n">
        <v>0</v>
      </c>
      <c r="X140" s="40" t="n"/>
      <c r="Y140" s="18" t="n"/>
      <c r="Z140" s="18" t="inlineStr">
        <is>
          <t>NÃO</t>
        </is>
      </c>
    </row>
    <row r="141">
      <c r="A141" s="18" t="inlineStr">
        <is>
          <t>16/CIDAN</t>
        </is>
      </c>
      <c r="B141" s="18" t="inlineStr">
        <is>
          <t>SPE - CIDADE NOVA LTDA</t>
        </is>
      </c>
      <c r="C141" s="18" t="inlineStr">
        <is>
          <t>289</t>
        </is>
      </c>
      <c r="D141" s="18" t="inlineStr">
        <is>
          <t>KENNEDY COELHO DOS SANTOS</t>
        </is>
      </c>
      <c r="E141" s="25" t="inlineStr">
        <is>
          <t>QUADRA 03/LOTE 19</t>
        </is>
      </c>
      <c r="F141" s="43" t="inlineStr">
        <is>
          <t>QUITADO</t>
        </is>
      </c>
      <c r="G141" s="22" t="n">
        <v>0</v>
      </c>
      <c r="H141" s="20" t="n">
        <v>178</v>
      </c>
      <c r="I141" s="20" t="n">
        <v>1</v>
      </c>
      <c r="J141" s="21" t="n">
        <v>310.22</v>
      </c>
      <c r="K141" s="44" t="n">
        <v>0</v>
      </c>
      <c r="L141" s="22" t="n">
        <v>0</v>
      </c>
      <c r="M141" s="22" t="n">
        <v>0</v>
      </c>
      <c r="N141" s="22" t="n">
        <v>0</v>
      </c>
      <c r="O141" s="22" t="n">
        <v>0</v>
      </c>
      <c r="P141" s="22" t="n">
        <v>0</v>
      </c>
      <c r="Q141" s="21" t="n">
        <v>0</v>
      </c>
      <c r="R141" s="20" t="n">
        <v>0</v>
      </c>
      <c r="S141" s="21" t="n">
        <v>0</v>
      </c>
      <c r="T141" s="22" t="n">
        <v>310.22</v>
      </c>
      <c r="U141" s="23" t="n">
        <v>1</v>
      </c>
      <c r="V141" s="23" t="n">
        <v>0</v>
      </c>
      <c r="W141" s="23" t="n">
        <v>0</v>
      </c>
      <c r="X141" s="40" t="n"/>
      <c r="Y141" s="18" t="n"/>
      <c r="Z141" s="18" t="inlineStr">
        <is>
          <t>NÃO</t>
        </is>
      </c>
    </row>
    <row r="142">
      <c r="A142" s="18" t="inlineStr">
        <is>
          <t>16/CIDAN</t>
        </is>
      </c>
      <c r="B142" s="18" t="inlineStr">
        <is>
          <t>SPE - CIDADE NOVA LTDA</t>
        </is>
      </c>
      <c r="C142" s="18" t="inlineStr">
        <is>
          <t>29</t>
        </is>
      </c>
      <c r="D142" s="18" t="inlineStr">
        <is>
          <t>ANTONIO BATISTA DOS SANTOS</t>
        </is>
      </c>
      <c r="E142" s="25" t="inlineStr">
        <is>
          <t>QUADRA 10/LOTE 19</t>
        </is>
      </c>
      <c r="F142" s="43" t="inlineStr">
        <is>
          <t>QUITADO</t>
        </is>
      </c>
      <c r="G142" s="22" t="n">
        <v>0</v>
      </c>
      <c r="H142" s="20" t="n">
        <v>178</v>
      </c>
      <c r="I142" s="20" t="n">
        <v>1</v>
      </c>
      <c r="J142" s="21" t="n">
        <v>184.21</v>
      </c>
      <c r="K142" s="44" t="n">
        <v>0</v>
      </c>
      <c r="L142" s="22" t="n">
        <v>0</v>
      </c>
      <c r="M142" s="22" t="n">
        <v>0</v>
      </c>
      <c r="N142" s="22" t="n">
        <v>0</v>
      </c>
      <c r="O142" s="22" t="n">
        <v>0</v>
      </c>
      <c r="P142" s="22" t="n">
        <v>0</v>
      </c>
      <c r="Q142" s="21" t="n">
        <v>0</v>
      </c>
      <c r="R142" s="20" t="n">
        <v>0</v>
      </c>
      <c r="S142" s="21" t="n">
        <v>0</v>
      </c>
      <c r="T142" s="22" t="n">
        <v>184.21</v>
      </c>
      <c r="U142" s="23" t="n">
        <v>1</v>
      </c>
      <c r="V142" s="23" t="n">
        <v>0</v>
      </c>
      <c r="W142" s="23" t="n">
        <v>0</v>
      </c>
      <c r="X142" s="40" t="n"/>
      <c r="Y142" s="18" t="n"/>
      <c r="Z142" s="18" t="inlineStr">
        <is>
          <t>NÃO</t>
        </is>
      </c>
    </row>
    <row r="143">
      <c r="A143" s="18" t="inlineStr">
        <is>
          <t>16/CIDAN</t>
        </is>
      </c>
      <c r="B143" s="18" t="inlineStr">
        <is>
          <t>SPE - CIDADE NOVA LTDA</t>
        </is>
      </c>
      <c r="C143" s="18" t="inlineStr">
        <is>
          <t>290</t>
        </is>
      </c>
      <c r="D143" s="18" t="inlineStr">
        <is>
          <t>MARIA DE FATIMA DE JESUS NOGUEIRA</t>
        </is>
      </c>
      <c r="E143" s="25" t="inlineStr">
        <is>
          <t>QUADRA 38/LOTE 15</t>
        </is>
      </c>
      <c r="F143" s="43" t="inlineStr">
        <is>
          <t>QUITADO</t>
        </is>
      </c>
      <c r="G143" s="22" t="n">
        <v>0</v>
      </c>
      <c r="H143" s="20" t="n">
        <v>178</v>
      </c>
      <c r="I143" s="20" t="n">
        <v>2</v>
      </c>
      <c r="J143" s="21" t="n">
        <v>238.26</v>
      </c>
      <c r="K143" s="44" t="n">
        <v>0</v>
      </c>
      <c r="L143" s="22" t="n">
        <v>0</v>
      </c>
      <c r="M143" s="22" t="n">
        <v>0</v>
      </c>
      <c r="N143" s="22" t="n">
        <v>0</v>
      </c>
      <c r="O143" s="22" t="n">
        <v>0</v>
      </c>
      <c r="P143" s="22" t="n">
        <v>0</v>
      </c>
      <c r="Q143" s="21" t="n">
        <v>0</v>
      </c>
      <c r="R143" s="20" t="n">
        <v>0</v>
      </c>
      <c r="S143" s="21" t="n">
        <v>0</v>
      </c>
      <c r="T143" s="22" t="n">
        <v>238.26</v>
      </c>
      <c r="U143" s="23" t="n">
        <v>1</v>
      </c>
      <c r="V143" s="23" t="n">
        <v>0</v>
      </c>
      <c r="W143" s="23" t="n">
        <v>0</v>
      </c>
      <c r="X143" s="40" t="n"/>
      <c r="Y143" s="18" t="n"/>
      <c r="Z143" s="18" t="inlineStr">
        <is>
          <t>NÃO</t>
        </is>
      </c>
    </row>
    <row r="144">
      <c r="A144" s="18" t="inlineStr">
        <is>
          <t>16/CIDAN</t>
        </is>
      </c>
      <c r="B144" s="18" t="inlineStr">
        <is>
          <t>SPE - CIDADE NOVA LTDA</t>
        </is>
      </c>
      <c r="C144" s="18" t="inlineStr">
        <is>
          <t>292</t>
        </is>
      </c>
      <c r="D144" s="18" t="inlineStr">
        <is>
          <t>PATRICIA MARTINS DA SILVA</t>
        </is>
      </c>
      <c r="E144" s="25" t="inlineStr">
        <is>
          <t>QUADRA 18/LOTE 12</t>
        </is>
      </c>
      <c r="F144" s="43" t="inlineStr">
        <is>
          <t>QUITADO</t>
        </is>
      </c>
      <c r="G144" s="22" t="n">
        <v>0</v>
      </c>
      <c r="H144" s="20" t="n">
        <v>178</v>
      </c>
      <c r="I144" s="20" t="n">
        <v>2</v>
      </c>
      <c r="J144" s="21" t="n">
        <v>319.44</v>
      </c>
      <c r="K144" s="44" t="n">
        <v>0</v>
      </c>
      <c r="L144" s="22" t="n">
        <v>0</v>
      </c>
      <c r="M144" s="22" t="n">
        <v>0</v>
      </c>
      <c r="N144" s="22" t="n">
        <v>0</v>
      </c>
      <c r="O144" s="22" t="n">
        <v>0</v>
      </c>
      <c r="P144" s="22" t="n">
        <v>0</v>
      </c>
      <c r="Q144" s="21" t="n">
        <v>0</v>
      </c>
      <c r="R144" s="20" t="n">
        <v>0</v>
      </c>
      <c r="S144" s="21" t="n">
        <v>0</v>
      </c>
      <c r="T144" s="22" t="n">
        <v>319.44</v>
      </c>
      <c r="U144" s="23" t="n">
        <v>1</v>
      </c>
      <c r="V144" s="23" t="n">
        <v>0</v>
      </c>
      <c r="W144" s="23" t="n">
        <v>0</v>
      </c>
      <c r="X144" s="40" t="n"/>
      <c r="Y144" s="18" t="n"/>
      <c r="Z144" s="18" t="inlineStr">
        <is>
          <t>NÃO</t>
        </is>
      </c>
    </row>
    <row r="145">
      <c r="A145" s="18" t="inlineStr">
        <is>
          <t>16/CIDAN</t>
        </is>
      </c>
      <c r="B145" s="18" t="inlineStr">
        <is>
          <t>SPE - CIDADE NOVA LTDA</t>
        </is>
      </c>
      <c r="C145" s="18" t="inlineStr">
        <is>
          <t>293</t>
        </is>
      </c>
      <c r="D145" s="18" t="inlineStr">
        <is>
          <t>RAIMUNDO HOLANDA MIRANDA</t>
        </is>
      </c>
      <c r="E145" s="25" t="inlineStr">
        <is>
          <t>QUADRA 89/LOTE 08</t>
        </is>
      </c>
      <c r="F145" s="43" t="inlineStr">
        <is>
          <t>QUITADO</t>
        </is>
      </c>
      <c r="G145" s="22" t="n">
        <v>0</v>
      </c>
      <c r="H145" s="20" t="n">
        <v>130</v>
      </c>
      <c r="I145" s="20" t="n">
        <v>9</v>
      </c>
      <c r="J145" s="21" t="n">
        <v>2308.81</v>
      </c>
      <c r="K145" s="44" t="n">
        <v>0</v>
      </c>
      <c r="L145" s="22" t="n">
        <v>0</v>
      </c>
      <c r="M145" s="22" t="n">
        <v>0</v>
      </c>
      <c r="N145" s="22" t="n">
        <v>0</v>
      </c>
      <c r="O145" s="22" t="n">
        <v>0</v>
      </c>
      <c r="P145" s="22" t="n">
        <v>0</v>
      </c>
      <c r="Q145" s="21" t="n">
        <v>0</v>
      </c>
      <c r="R145" s="20" t="n">
        <v>0</v>
      </c>
      <c r="S145" s="21" t="n">
        <v>0</v>
      </c>
      <c r="T145" s="22" t="n">
        <v>2308.81</v>
      </c>
      <c r="U145" s="23" t="n">
        <v>1</v>
      </c>
      <c r="V145" s="23" t="n">
        <v>0</v>
      </c>
      <c r="W145" s="23" t="n">
        <v>0</v>
      </c>
      <c r="X145" s="40" t="n"/>
      <c r="Y145" s="18" t="n"/>
      <c r="Z145" s="18" t="inlineStr">
        <is>
          <t>NÃO</t>
        </is>
      </c>
    </row>
    <row r="146">
      <c r="A146" s="18" t="inlineStr">
        <is>
          <t>16/CIDAN</t>
        </is>
      </c>
      <c r="B146" s="18" t="inlineStr">
        <is>
          <t>SPE - CIDADE NOVA LTDA</t>
        </is>
      </c>
      <c r="C146" s="18" t="inlineStr">
        <is>
          <t>294</t>
        </is>
      </c>
      <c r="D146" s="18" t="inlineStr">
        <is>
          <t>ESTEFANO JERONIMO DE JESUS</t>
        </is>
      </c>
      <c r="E146" s="25" t="inlineStr">
        <is>
          <t>QUADRA 39/LOTE 17</t>
        </is>
      </c>
      <c r="F146" s="43" t="inlineStr">
        <is>
          <t>QUITADO</t>
        </is>
      </c>
      <c r="G146" s="22" t="n">
        <v>0</v>
      </c>
      <c r="H146" s="20" t="n">
        <v>178</v>
      </c>
      <c r="I146" s="20" t="n">
        <v>17</v>
      </c>
      <c r="J146" s="21" t="n">
        <v>1868.96</v>
      </c>
      <c r="K146" s="44" t="n">
        <v>0</v>
      </c>
      <c r="L146" s="22" t="n">
        <v>0</v>
      </c>
      <c r="M146" s="22" t="n">
        <v>0</v>
      </c>
      <c r="N146" s="22" t="n">
        <v>0</v>
      </c>
      <c r="O146" s="22" t="n">
        <v>0</v>
      </c>
      <c r="P146" s="22" t="n">
        <v>0</v>
      </c>
      <c r="Q146" s="21" t="n">
        <v>0</v>
      </c>
      <c r="R146" s="20" t="n">
        <v>0</v>
      </c>
      <c r="S146" s="21" t="n">
        <v>0</v>
      </c>
      <c r="T146" s="22" t="n">
        <v>1868.96</v>
      </c>
      <c r="U146" s="23" t="n">
        <v>1</v>
      </c>
      <c r="V146" s="23" t="n">
        <v>0</v>
      </c>
      <c r="W146" s="23" t="n">
        <v>0</v>
      </c>
      <c r="X146" s="40" t="n"/>
      <c r="Y146" s="18" t="n"/>
      <c r="Z146" s="18" t="inlineStr">
        <is>
          <t>NÃO</t>
        </is>
      </c>
    </row>
    <row r="147">
      <c r="A147" s="18" t="inlineStr">
        <is>
          <t>16/CIDAN</t>
        </is>
      </c>
      <c r="B147" s="18" t="inlineStr">
        <is>
          <t>SPE - CIDADE NOVA LTDA</t>
        </is>
      </c>
      <c r="C147" s="18" t="inlineStr">
        <is>
          <t>295</t>
        </is>
      </c>
      <c r="D147" s="18" t="inlineStr">
        <is>
          <t>DANIEL MOURA DE CASTRO JUNIOR</t>
        </is>
      </c>
      <c r="E147" s="25" t="inlineStr">
        <is>
          <t>QUADRA 02/LOTE 02</t>
        </is>
      </c>
      <c r="F147" s="43" t="inlineStr">
        <is>
          <t>QUITADO</t>
        </is>
      </c>
      <c r="G147" s="22" t="n">
        <v>0</v>
      </c>
      <c r="H147" s="20" t="n">
        <v>178</v>
      </c>
      <c r="I147" s="20" t="n">
        <v>6</v>
      </c>
      <c r="J147" s="21" t="n">
        <v>1867.3</v>
      </c>
      <c r="K147" s="44" t="n">
        <v>0</v>
      </c>
      <c r="L147" s="22" t="n">
        <v>0</v>
      </c>
      <c r="M147" s="22" t="n">
        <v>0</v>
      </c>
      <c r="N147" s="22" t="n">
        <v>0</v>
      </c>
      <c r="O147" s="22" t="n">
        <v>0</v>
      </c>
      <c r="P147" s="22" t="n">
        <v>0</v>
      </c>
      <c r="Q147" s="21" t="n">
        <v>0</v>
      </c>
      <c r="R147" s="20" t="n">
        <v>0</v>
      </c>
      <c r="S147" s="21" t="n">
        <v>0</v>
      </c>
      <c r="T147" s="22" t="n">
        <v>1867.3</v>
      </c>
      <c r="U147" s="23" t="n">
        <v>1</v>
      </c>
      <c r="V147" s="23" t="n">
        <v>0</v>
      </c>
      <c r="W147" s="23" t="n">
        <v>0</v>
      </c>
      <c r="X147" s="40" t="n"/>
      <c r="Y147" s="18" t="n"/>
      <c r="Z147" s="18" t="inlineStr">
        <is>
          <t>NÃO</t>
        </is>
      </c>
    </row>
    <row r="148">
      <c r="A148" s="18" t="inlineStr">
        <is>
          <t>16/CIDAN</t>
        </is>
      </c>
      <c r="B148" s="18" t="inlineStr">
        <is>
          <t>SPE - CIDADE NOVA LTDA</t>
        </is>
      </c>
      <c r="C148" s="18" t="inlineStr">
        <is>
          <t>298</t>
        </is>
      </c>
      <c r="D148" s="18" t="inlineStr">
        <is>
          <t>ANTONIO SOBRINHO VAL PORTO GUIDA</t>
        </is>
      </c>
      <c r="E148" s="25" t="inlineStr">
        <is>
          <t>QUADRA 22/LOTE 20</t>
        </is>
      </c>
      <c r="F148" s="43" t="inlineStr">
        <is>
          <t>QUITADO</t>
        </is>
      </c>
      <c r="G148" s="22" t="n">
        <v>0</v>
      </c>
      <c r="H148" s="20" t="n">
        <v>178</v>
      </c>
      <c r="I148" s="20" t="n">
        <v>36</v>
      </c>
      <c r="J148" s="21" t="n">
        <v>6179.56</v>
      </c>
      <c r="K148" s="44" t="n">
        <v>0</v>
      </c>
      <c r="L148" s="22" t="n">
        <v>0</v>
      </c>
      <c r="M148" s="22" t="n">
        <v>0</v>
      </c>
      <c r="N148" s="22" t="n">
        <v>0</v>
      </c>
      <c r="O148" s="22" t="n">
        <v>0</v>
      </c>
      <c r="P148" s="22" t="n">
        <v>0</v>
      </c>
      <c r="Q148" s="21" t="n">
        <v>0</v>
      </c>
      <c r="R148" s="20" t="n">
        <v>0</v>
      </c>
      <c r="S148" s="21" t="n">
        <v>0</v>
      </c>
      <c r="T148" s="22" t="n">
        <v>6179.56</v>
      </c>
      <c r="U148" s="23" t="n">
        <v>1</v>
      </c>
      <c r="V148" s="23" t="n">
        <v>0</v>
      </c>
      <c r="W148" s="23" t="n">
        <v>0</v>
      </c>
      <c r="X148" s="40" t="n"/>
      <c r="Y148" s="18" t="n"/>
      <c r="Z148" s="18" t="inlineStr">
        <is>
          <t>NÃO</t>
        </is>
      </c>
    </row>
    <row r="149">
      <c r="A149" s="18" t="inlineStr">
        <is>
          <t>16/CIDAN</t>
        </is>
      </c>
      <c r="B149" s="18" t="inlineStr">
        <is>
          <t>SPE - CIDADE NOVA LTDA</t>
        </is>
      </c>
      <c r="C149" s="18" t="inlineStr">
        <is>
          <t>299</t>
        </is>
      </c>
      <c r="D149" s="18" t="inlineStr">
        <is>
          <t>GENILTON REIS BRITO</t>
        </is>
      </c>
      <c r="E149" s="25" t="n"/>
      <c r="F149" s="43" t="inlineStr">
        <is>
          <t>QUITADO</t>
        </is>
      </c>
      <c r="G149" s="22" t="n">
        <v>298.61</v>
      </c>
      <c r="H149" s="20" t="n">
        <v>1</v>
      </c>
      <c r="I149" s="20" t="n">
        <v>1</v>
      </c>
      <c r="J149" s="21" t="n">
        <v>298.61</v>
      </c>
      <c r="K149" s="44" t="n">
        <v>0</v>
      </c>
      <c r="L149" s="22" t="n">
        <v>0</v>
      </c>
      <c r="M149" s="22" t="n">
        <v>0</v>
      </c>
      <c r="N149" s="22" t="n">
        <v>0</v>
      </c>
      <c r="O149" s="22" t="n">
        <v>0</v>
      </c>
      <c r="P149" s="22" t="n">
        <v>0</v>
      </c>
      <c r="Q149" s="21" t="n">
        <v>0</v>
      </c>
      <c r="R149" s="20" t="n">
        <v>0</v>
      </c>
      <c r="S149" s="21" t="n">
        <v>0</v>
      </c>
      <c r="T149" s="22" t="n">
        <v>298.61</v>
      </c>
      <c r="U149" s="23" t="n">
        <v>1</v>
      </c>
      <c r="V149" s="23" t="n">
        <v>0</v>
      </c>
      <c r="W149" s="23" t="n">
        <v>0</v>
      </c>
      <c r="X149" s="40" t="n"/>
      <c r="Y149" s="18" t="n"/>
      <c r="Z149" s="18" t="inlineStr">
        <is>
          <t>NÃO</t>
        </is>
      </c>
    </row>
    <row r="150">
      <c r="A150" s="18" t="inlineStr">
        <is>
          <t>16/CIDAN</t>
        </is>
      </c>
      <c r="B150" s="18" t="inlineStr">
        <is>
          <t>SPE - CIDADE NOVA LTDA</t>
        </is>
      </c>
      <c r="C150" s="18" t="inlineStr">
        <is>
          <t>30</t>
        </is>
      </c>
      <c r="D150" s="18" t="inlineStr">
        <is>
          <t>JOSÉ ABILIO DA SILVA</t>
        </is>
      </c>
      <c r="E150" s="25" t="inlineStr">
        <is>
          <t>QUADRA 07/LOTE 01</t>
        </is>
      </c>
      <c r="F150" s="43" t="inlineStr">
        <is>
          <t>QUITADO</t>
        </is>
      </c>
      <c r="G150" s="22" t="n">
        <v>0</v>
      </c>
      <c r="H150" s="20" t="n">
        <v>178</v>
      </c>
      <c r="I150" s="20" t="n">
        <v>34</v>
      </c>
      <c r="J150" s="21" t="n">
        <v>7595.72</v>
      </c>
      <c r="K150" s="44" t="n">
        <v>0</v>
      </c>
      <c r="L150" s="22" t="n">
        <v>0</v>
      </c>
      <c r="M150" s="22" t="n">
        <v>0</v>
      </c>
      <c r="N150" s="22" t="n">
        <v>0</v>
      </c>
      <c r="O150" s="22" t="n">
        <v>0</v>
      </c>
      <c r="P150" s="22" t="n">
        <v>0</v>
      </c>
      <c r="Q150" s="21" t="n">
        <v>0</v>
      </c>
      <c r="R150" s="20" t="n">
        <v>0</v>
      </c>
      <c r="S150" s="21" t="n">
        <v>0</v>
      </c>
      <c r="T150" s="22" t="n">
        <v>7595.72</v>
      </c>
      <c r="U150" s="23" t="n">
        <v>1</v>
      </c>
      <c r="V150" s="23" t="n">
        <v>0</v>
      </c>
      <c r="W150" s="23" t="n">
        <v>0</v>
      </c>
      <c r="X150" s="40" t="n"/>
      <c r="Y150" s="18" t="n"/>
      <c r="Z150" s="18" t="inlineStr">
        <is>
          <t>NÃO</t>
        </is>
      </c>
    </row>
    <row r="151">
      <c r="A151" s="18" t="inlineStr">
        <is>
          <t>16/CIDAN</t>
        </is>
      </c>
      <c r="B151" s="18" t="inlineStr">
        <is>
          <t>SPE - CIDADE NOVA LTDA</t>
        </is>
      </c>
      <c r="C151" s="18" t="inlineStr">
        <is>
          <t>306</t>
        </is>
      </c>
      <c r="D151" s="18" t="inlineStr">
        <is>
          <t>ANDREIA CASTRO RODRIGUES</t>
        </is>
      </c>
      <c r="E151" s="25" t="inlineStr">
        <is>
          <t>QUADRA 89/LOTE 11</t>
        </is>
      </c>
      <c r="F151" s="43" t="inlineStr">
        <is>
          <t>QUITADO</t>
        </is>
      </c>
      <c r="G151" s="22" t="n">
        <v>0</v>
      </c>
      <c r="H151" s="20" t="n">
        <v>178</v>
      </c>
      <c r="I151" s="20" t="n">
        <v>3</v>
      </c>
      <c r="J151" s="21" t="n">
        <v>516.26</v>
      </c>
      <c r="K151" s="44" t="n">
        <v>0</v>
      </c>
      <c r="L151" s="22" t="n">
        <v>0</v>
      </c>
      <c r="M151" s="22" t="n">
        <v>0</v>
      </c>
      <c r="N151" s="22" t="n">
        <v>0</v>
      </c>
      <c r="O151" s="22" t="n">
        <v>0</v>
      </c>
      <c r="P151" s="22" t="n">
        <v>0</v>
      </c>
      <c r="Q151" s="21" t="n">
        <v>0</v>
      </c>
      <c r="R151" s="20" t="n">
        <v>0</v>
      </c>
      <c r="S151" s="21" t="n">
        <v>0</v>
      </c>
      <c r="T151" s="22" t="n">
        <v>516.26</v>
      </c>
      <c r="U151" s="23" t="n">
        <v>1</v>
      </c>
      <c r="V151" s="23" t="n">
        <v>0</v>
      </c>
      <c r="W151" s="23" t="n">
        <v>0</v>
      </c>
      <c r="X151" s="40" t="n"/>
      <c r="Y151" s="18" t="n"/>
      <c r="Z151" s="18" t="inlineStr">
        <is>
          <t>NÃO</t>
        </is>
      </c>
    </row>
    <row r="152">
      <c r="A152" s="18" t="inlineStr">
        <is>
          <t>16/CIDAN</t>
        </is>
      </c>
      <c r="B152" s="18" t="inlineStr">
        <is>
          <t>SPE - CIDADE NOVA LTDA</t>
        </is>
      </c>
      <c r="C152" s="18" t="inlineStr">
        <is>
          <t>307</t>
        </is>
      </c>
      <c r="D152" s="18" t="inlineStr">
        <is>
          <t>VANESSA CRISTINA FIGUEIREDO MELO</t>
        </is>
      </c>
      <c r="E152" s="25" t="n"/>
      <c r="F152" s="43" t="inlineStr">
        <is>
          <t>QUITADO</t>
        </is>
      </c>
      <c r="G152" s="22" t="n">
        <v>10</v>
      </c>
      <c r="H152" s="20" t="n">
        <v>1</v>
      </c>
      <c r="I152" s="20" t="n">
        <v>1</v>
      </c>
      <c r="J152" s="21" t="n">
        <v>10</v>
      </c>
      <c r="K152" s="44" t="n">
        <v>0</v>
      </c>
      <c r="L152" s="22" t="n">
        <v>0</v>
      </c>
      <c r="M152" s="22" t="n">
        <v>0</v>
      </c>
      <c r="N152" s="22" t="n">
        <v>0</v>
      </c>
      <c r="O152" s="22" t="n">
        <v>0</v>
      </c>
      <c r="P152" s="22" t="n">
        <v>0</v>
      </c>
      <c r="Q152" s="21" t="n">
        <v>0</v>
      </c>
      <c r="R152" s="20" t="n">
        <v>0</v>
      </c>
      <c r="S152" s="21" t="n">
        <v>0</v>
      </c>
      <c r="T152" s="22" t="n">
        <v>10</v>
      </c>
      <c r="U152" s="23" t="n">
        <v>1</v>
      </c>
      <c r="V152" s="23" t="n">
        <v>0</v>
      </c>
      <c r="W152" s="23" t="n">
        <v>0</v>
      </c>
      <c r="X152" s="40" t="n"/>
      <c r="Y152" s="18" t="n"/>
      <c r="Z152" s="18" t="inlineStr">
        <is>
          <t>NÃO</t>
        </is>
      </c>
    </row>
    <row r="153">
      <c r="A153" s="18" t="inlineStr">
        <is>
          <t>16/CIDAN</t>
        </is>
      </c>
      <c r="B153" s="18" t="inlineStr">
        <is>
          <t>SPE - CIDADE NOVA LTDA</t>
        </is>
      </c>
      <c r="C153" s="18" t="inlineStr">
        <is>
          <t>308</t>
        </is>
      </c>
      <c r="D153" s="18" t="inlineStr">
        <is>
          <t>RONALDO MARTINS CAMPOS</t>
        </is>
      </c>
      <c r="E153" s="25" t="inlineStr">
        <is>
          <t>QUADRA 05/LOTE 06</t>
        </is>
      </c>
      <c r="F153" s="43" t="inlineStr">
        <is>
          <t>QUITADO</t>
        </is>
      </c>
      <c r="G153" s="22" t="n">
        <v>0</v>
      </c>
      <c r="H153" s="20" t="n">
        <v>173</v>
      </c>
      <c r="I153" s="20" t="n">
        <v>4</v>
      </c>
      <c r="J153" s="21" t="n">
        <v>727.47</v>
      </c>
      <c r="K153" s="44" t="n">
        <v>0</v>
      </c>
      <c r="L153" s="22" t="n">
        <v>0</v>
      </c>
      <c r="M153" s="22" t="n">
        <v>0</v>
      </c>
      <c r="N153" s="22" t="n">
        <v>0</v>
      </c>
      <c r="O153" s="22" t="n">
        <v>0</v>
      </c>
      <c r="P153" s="22" t="n">
        <v>0</v>
      </c>
      <c r="Q153" s="21" t="n">
        <v>0</v>
      </c>
      <c r="R153" s="20" t="n">
        <v>0</v>
      </c>
      <c r="S153" s="21" t="n">
        <v>0</v>
      </c>
      <c r="T153" s="22" t="n">
        <v>727.47</v>
      </c>
      <c r="U153" s="23" t="n">
        <v>1</v>
      </c>
      <c r="V153" s="23" t="n">
        <v>0</v>
      </c>
      <c r="W153" s="23" t="n">
        <v>0</v>
      </c>
      <c r="X153" s="40" t="n"/>
      <c r="Y153" s="18" t="n"/>
      <c r="Z153" s="18" t="inlineStr">
        <is>
          <t>NÃO</t>
        </is>
      </c>
    </row>
    <row r="154">
      <c r="A154" s="18" t="inlineStr">
        <is>
          <t>16/CIDAN</t>
        </is>
      </c>
      <c r="B154" s="18" t="inlineStr">
        <is>
          <t>SPE - CIDADE NOVA LTDA</t>
        </is>
      </c>
      <c r="C154" s="18" t="inlineStr">
        <is>
          <t>309</t>
        </is>
      </c>
      <c r="D154" s="18" t="inlineStr">
        <is>
          <t>JULIO CESAR ARGENTATO</t>
        </is>
      </c>
      <c r="E154" s="25" t="inlineStr">
        <is>
          <t>QUADRA 27/LOTE 15</t>
        </is>
      </c>
      <c r="F154" s="43" t="inlineStr">
        <is>
          <t>QUITADO</t>
        </is>
      </c>
      <c r="G154" s="22" t="n">
        <v>0.1</v>
      </c>
      <c r="H154" s="20" t="n">
        <v>1</v>
      </c>
      <c r="I154" s="20" t="n">
        <v>1</v>
      </c>
      <c r="J154" s="21" t="n">
        <v>0.1</v>
      </c>
      <c r="K154" s="44" t="n">
        <v>0</v>
      </c>
      <c r="L154" s="22" t="n">
        <v>0</v>
      </c>
      <c r="M154" s="22" t="n">
        <v>0</v>
      </c>
      <c r="N154" s="22" t="n">
        <v>0</v>
      </c>
      <c r="O154" s="22" t="n">
        <v>0</v>
      </c>
      <c r="P154" s="22" t="n">
        <v>0</v>
      </c>
      <c r="Q154" s="21" t="n">
        <v>0</v>
      </c>
      <c r="R154" s="20" t="n">
        <v>0</v>
      </c>
      <c r="S154" s="21" t="n">
        <v>0</v>
      </c>
      <c r="T154" s="22" t="n">
        <v>0.1</v>
      </c>
      <c r="U154" s="23" t="n">
        <v>1</v>
      </c>
      <c r="V154" s="23" t="n">
        <v>0</v>
      </c>
      <c r="W154" s="23" t="n">
        <v>0</v>
      </c>
      <c r="X154" s="40" t="n"/>
      <c r="Y154" s="18" t="n"/>
      <c r="Z154" s="18" t="inlineStr">
        <is>
          <t>NÃO</t>
        </is>
      </c>
    </row>
    <row r="155">
      <c r="A155" s="18" t="inlineStr">
        <is>
          <t>16/CIDAN</t>
        </is>
      </c>
      <c r="B155" s="18" t="inlineStr">
        <is>
          <t>SPE - CIDADE NOVA LTDA</t>
        </is>
      </c>
      <c r="C155" s="18" t="inlineStr">
        <is>
          <t>311</t>
        </is>
      </c>
      <c r="D155" s="18" t="inlineStr">
        <is>
          <t>RONALDO MARTINS CAMPOS</t>
        </is>
      </c>
      <c r="E155" s="25" t="inlineStr">
        <is>
          <t>QUADRA 03/LOTE 23</t>
        </is>
      </c>
      <c r="F155" s="43" t="inlineStr">
        <is>
          <t>QUITADO</t>
        </is>
      </c>
      <c r="G155" s="22" t="n">
        <v>0</v>
      </c>
      <c r="H155" s="20" t="n">
        <v>168</v>
      </c>
      <c r="I155" s="20" t="n">
        <v>17</v>
      </c>
      <c r="J155" s="21" t="n">
        <v>3251.41</v>
      </c>
      <c r="K155" s="44" t="n">
        <v>0</v>
      </c>
      <c r="L155" s="22" t="n">
        <v>0</v>
      </c>
      <c r="M155" s="22" t="n">
        <v>0</v>
      </c>
      <c r="N155" s="22" t="n">
        <v>0</v>
      </c>
      <c r="O155" s="22" t="n">
        <v>0</v>
      </c>
      <c r="P155" s="22" t="n">
        <v>0</v>
      </c>
      <c r="Q155" s="21" t="n">
        <v>0</v>
      </c>
      <c r="R155" s="20" t="n">
        <v>0</v>
      </c>
      <c r="S155" s="21" t="n">
        <v>0</v>
      </c>
      <c r="T155" s="22" t="n">
        <v>3251.41</v>
      </c>
      <c r="U155" s="23" t="n">
        <v>1</v>
      </c>
      <c r="V155" s="23" t="n">
        <v>0</v>
      </c>
      <c r="W155" s="23" t="n">
        <v>0</v>
      </c>
      <c r="X155" s="40" t="n"/>
      <c r="Y155" s="18" t="n"/>
      <c r="Z155" s="18" t="inlineStr">
        <is>
          <t>NÃO</t>
        </is>
      </c>
    </row>
    <row r="156">
      <c r="A156" s="18" t="inlineStr">
        <is>
          <t>16/CIDAN</t>
        </is>
      </c>
      <c r="B156" s="18" t="inlineStr">
        <is>
          <t>SPE - CIDADE NOVA LTDA</t>
        </is>
      </c>
      <c r="C156" s="18" t="inlineStr">
        <is>
          <t>312</t>
        </is>
      </c>
      <c r="D156" s="18" t="inlineStr">
        <is>
          <t>DAVID BARROS DE ARAUJO</t>
        </is>
      </c>
      <c r="E156" s="25" t="inlineStr">
        <is>
          <t>QUADRA 03/LOTE 21</t>
        </is>
      </c>
      <c r="F156" s="43" t="inlineStr">
        <is>
          <t>QUITADO</t>
        </is>
      </c>
      <c r="G156" s="22" t="n">
        <v>0</v>
      </c>
      <c r="H156" s="20" t="n">
        <v>167</v>
      </c>
      <c r="I156" s="20" t="n">
        <v>12</v>
      </c>
      <c r="J156" s="21" t="n">
        <v>2436.52</v>
      </c>
      <c r="K156" s="44" t="n">
        <v>0</v>
      </c>
      <c r="L156" s="22" t="n">
        <v>0</v>
      </c>
      <c r="M156" s="22" t="n">
        <v>0</v>
      </c>
      <c r="N156" s="22" t="n">
        <v>0</v>
      </c>
      <c r="O156" s="22" t="n">
        <v>0</v>
      </c>
      <c r="P156" s="22" t="n">
        <v>0</v>
      </c>
      <c r="Q156" s="21" t="n">
        <v>0</v>
      </c>
      <c r="R156" s="20" t="n">
        <v>0</v>
      </c>
      <c r="S156" s="21" t="n">
        <v>0</v>
      </c>
      <c r="T156" s="22" t="n">
        <v>2436.52</v>
      </c>
      <c r="U156" s="23" t="n">
        <v>1</v>
      </c>
      <c r="V156" s="23" t="n">
        <v>0</v>
      </c>
      <c r="W156" s="23" t="n">
        <v>0</v>
      </c>
      <c r="X156" s="40" t="n"/>
      <c r="Y156" s="18" t="n"/>
      <c r="Z156" s="18" t="inlineStr">
        <is>
          <t>NÃO</t>
        </is>
      </c>
    </row>
    <row r="157">
      <c r="A157" s="18" t="inlineStr">
        <is>
          <t>16/CIDAN</t>
        </is>
      </c>
      <c r="B157" s="18" t="inlineStr">
        <is>
          <t>SPE - CIDADE NOVA LTDA</t>
        </is>
      </c>
      <c r="C157" s="18" t="inlineStr">
        <is>
          <t>313</t>
        </is>
      </c>
      <c r="D157" s="18" t="inlineStr">
        <is>
          <t>DAVID BARROS DE ARAUJO</t>
        </is>
      </c>
      <c r="E157" s="25" t="inlineStr">
        <is>
          <t>QUADRA 03/LOTE 22</t>
        </is>
      </c>
      <c r="F157" s="43" t="inlineStr">
        <is>
          <t>QUITADO</t>
        </is>
      </c>
      <c r="G157" s="22" t="n">
        <v>0</v>
      </c>
      <c r="H157" s="20" t="n">
        <v>178</v>
      </c>
      <c r="I157" s="20" t="n">
        <v>11</v>
      </c>
      <c r="J157" s="21" t="n">
        <v>2218.97</v>
      </c>
      <c r="K157" s="44" t="n">
        <v>0</v>
      </c>
      <c r="L157" s="22" t="n">
        <v>0</v>
      </c>
      <c r="M157" s="22" t="n">
        <v>0</v>
      </c>
      <c r="N157" s="22" t="n">
        <v>0</v>
      </c>
      <c r="O157" s="22" t="n">
        <v>0</v>
      </c>
      <c r="P157" s="22" t="n">
        <v>0</v>
      </c>
      <c r="Q157" s="21" t="n">
        <v>0</v>
      </c>
      <c r="R157" s="20" t="n">
        <v>0</v>
      </c>
      <c r="S157" s="21" t="n">
        <v>0</v>
      </c>
      <c r="T157" s="22" t="n">
        <v>2218.97</v>
      </c>
      <c r="U157" s="23" t="n">
        <v>1</v>
      </c>
      <c r="V157" s="23" t="n">
        <v>0</v>
      </c>
      <c r="W157" s="23" t="n">
        <v>0</v>
      </c>
      <c r="X157" s="40" t="n"/>
      <c r="Y157" s="18" t="n"/>
      <c r="Z157" s="18" t="inlineStr">
        <is>
          <t>NÃO</t>
        </is>
      </c>
    </row>
    <row r="158">
      <c r="A158" s="18" t="inlineStr">
        <is>
          <t>16/CIDAN</t>
        </is>
      </c>
      <c r="B158" s="18" t="inlineStr">
        <is>
          <t>SPE - CIDADE NOVA LTDA</t>
        </is>
      </c>
      <c r="C158" s="18" t="inlineStr">
        <is>
          <t>314</t>
        </is>
      </c>
      <c r="D158" s="18" t="inlineStr">
        <is>
          <t>RONALDO MARTINS CAMPOS</t>
        </is>
      </c>
      <c r="E158" s="25" t="inlineStr">
        <is>
          <t>QUADRA 03/LOTE 24</t>
        </is>
      </c>
      <c r="F158" s="43" t="inlineStr">
        <is>
          <t>QUITADO</t>
        </is>
      </c>
      <c r="G158" s="22" t="n">
        <v>0</v>
      </c>
      <c r="H158" s="20" t="n">
        <v>178</v>
      </c>
      <c r="I158" s="20" t="n">
        <v>14</v>
      </c>
      <c r="J158" s="21" t="n">
        <v>2709.66</v>
      </c>
      <c r="K158" s="44" t="n">
        <v>0</v>
      </c>
      <c r="L158" s="22" t="n">
        <v>0</v>
      </c>
      <c r="M158" s="22" t="n">
        <v>0</v>
      </c>
      <c r="N158" s="22" t="n">
        <v>0</v>
      </c>
      <c r="O158" s="22" t="n">
        <v>0</v>
      </c>
      <c r="P158" s="22" t="n">
        <v>0</v>
      </c>
      <c r="Q158" s="21" t="n">
        <v>0</v>
      </c>
      <c r="R158" s="20" t="n">
        <v>0</v>
      </c>
      <c r="S158" s="21" t="n">
        <v>0</v>
      </c>
      <c r="T158" s="22" t="n">
        <v>2709.66</v>
      </c>
      <c r="U158" s="23" t="n">
        <v>1</v>
      </c>
      <c r="V158" s="23" t="n">
        <v>0</v>
      </c>
      <c r="W158" s="23" t="n">
        <v>0</v>
      </c>
      <c r="X158" s="40" t="n"/>
      <c r="Y158" s="18" t="n"/>
      <c r="Z158" s="18" t="inlineStr">
        <is>
          <t>NÃO</t>
        </is>
      </c>
    </row>
    <row r="159">
      <c r="A159" s="18" t="inlineStr">
        <is>
          <t>16/CIDAN</t>
        </is>
      </c>
      <c r="B159" s="18" t="inlineStr">
        <is>
          <t>SPE - CIDADE NOVA LTDA</t>
        </is>
      </c>
      <c r="C159" s="18" t="inlineStr">
        <is>
          <t>316</t>
        </is>
      </c>
      <c r="D159" s="18" t="inlineStr">
        <is>
          <t>JOSE VALDARIO TEIXEIRA</t>
        </is>
      </c>
      <c r="E159" s="25" t="inlineStr">
        <is>
          <t>QUADRA 70/LOTE 18</t>
        </is>
      </c>
      <c r="F159" s="43" t="inlineStr">
        <is>
          <t>QUITADO</t>
        </is>
      </c>
      <c r="G159" s="22" t="n">
        <v>0</v>
      </c>
      <c r="H159" s="20" t="n">
        <v>178</v>
      </c>
      <c r="I159" s="20" t="n">
        <v>4</v>
      </c>
      <c r="J159" s="21" t="n">
        <v>1134.4</v>
      </c>
      <c r="K159" s="44" t="n">
        <v>0</v>
      </c>
      <c r="L159" s="22" t="n">
        <v>0</v>
      </c>
      <c r="M159" s="22" t="n">
        <v>0</v>
      </c>
      <c r="N159" s="22" t="n">
        <v>0</v>
      </c>
      <c r="O159" s="22" t="n">
        <v>0</v>
      </c>
      <c r="P159" s="22" t="n">
        <v>0</v>
      </c>
      <c r="Q159" s="21" t="n">
        <v>0</v>
      </c>
      <c r="R159" s="20" t="n">
        <v>0</v>
      </c>
      <c r="S159" s="21" t="n">
        <v>0</v>
      </c>
      <c r="T159" s="22" t="n">
        <v>1134.4</v>
      </c>
      <c r="U159" s="23" t="n">
        <v>1</v>
      </c>
      <c r="V159" s="23" t="n">
        <v>0</v>
      </c>
      <c r="W159" s="23" t="n">
        <v>0</v>
      </c>
      <c r="X159" s="40" t="n"/>
      <c r="Y159" s="18" t="n"/>
      <c r="Z159" s="18" t="inlineStr">
        <is>
          <t>NÃO</t>
        </is>
      </c>
    </row>
    <row r="160">
      <c r="A160" s="18" t="inlineStr">
        <is>
          <t>16/CIDAN</t>
        </is>
      </c>
      <c r="B160" s="18" t="inlineStr">
        <is>
          <t>SPE - CIDADE NOVA LTDA</t>
        </is>
      </c>
      <c r="C160" s="18" t="inlineStr">
        <is>
          <t>32</t>
        </is>
      </c>
      <c r="D160" s="18" t="inlineStr">
        <is>
          <t>EVALDO BAIMA DOS SANTOS</t>
        </is>
      </c>
      <c r="E160" s="25" t="inlineStr">
        <is>
          <t>QUADRA 09/LOTE 17</t>
        </is>
      </c>
      <c r="F160" s="43" t="inlineStr">
        <is>
          <t>QUITADO</t>
        </is>
      </c>
      <c r="G160" s="22" t="n">
        <v>0</v>
      </c>
      <c r="H160" s="20" t="n">
        <v>178</v>
      </c>
      <c r="I160" s="20" t="n">
        <v>1</v>
      </c>
      <c r="J160" s="21" t="n">
        <v>201.72</v>
      </c>
      <c r="K160" s="44" t="n">
        <v>0</v>
      </c>
      <c r="L160" s="22" t="n">
        <v>0</v>
      </c>
      <c r="M160" s="22" t="n">
        <v>0</v>
      </c>
      <c r="N160" s="22" t="n">
        <v>0</v>
      </c>
      <c r="O160" s="22" t="n">
        <v>0</v>
      </c>
      <c r="P160" s="22" t="n">
        <v>0</v>
      </c>
      <c r="Q160" s="21" t="n">
        <v>0</v>
      </c>
      <c r="R160" s="20" t="n">
        <v>0</v>
      </c>
      <c r="S160" s="21" t="n">
        <v>0</v>
      </c>
      <c r="T160" s="22" t="n">
        <v>201.72</v>
      </c>
      <c r="U160" s="23" t="n">
        <v>1</v>
      </c>
      <c r="V160" s="23" t="n">
        <v>0</v>
      </c>
      <c r="W160" s="23" t="n">
        <v>0</v>
      </c>
      <c r="X160" s="40" t="n"/>
      <c r="Y160" s="18" t="n"/>
      <c r="Z160" s="18" t="inlineStr">
        <is>
          <t>NÃO</t>
        </is>
      </c>
    </row>
    <row r="161">
      <c r="A161" s="45" t="inlineStr">
        <is>
          <t>16/CIDAN</t>
        </is>
      </c>
      <c r="B161" s="45" t="inlineStr">
        <is>
          <t>SPE - CIDADE NOVA LTDA</t>
        </is>
      </c>
      <c r="C161" s="45" t="inlineStr">
        <is>
          <t>321</t>
        </is>
      </c>
      <c r="D161" s="45" t="inlineStr">
        <is>
          <t>FUNDO DE ARRENDADAMENTO RESIDENCIAL - FAR</t>
        </is>
      </c>
      <c r="E161" s="46" t="inlineStr">
        <is>
          <t>QUADRA 40/LOTE 01|QUADRA 40/LOTE 02|QUADRA 40/LOTE 03|QUADRA 40/LOTE 04|QUADRA 40/LOTE 05|QUADRA 40/LOTE 06|QUADRA 40/LOTE 07|QUADRA 40/LOTE 08|QUADRA 40/LOTE 09|QUADRA 40/LOTE 10|QUADRA 40/LOTE 11|QUADRA 40/LOTE 12|QUADRA 40/LOTE 13|QUADRA 40/LOTE 14|QUADRA 40/LOTE 15|QUADRA 40/LOTE 16|QUADRA 40/LOTE 17|QUADRA 40/LOTE 18|QUADRA 40/LOTE 19|QUADRA 40/LOTE 20|QUADRA 40/LOTE 21|QUADRA 40/LOTE 22|QUADRA 40/LOTE 23|QUADRA 40/LOTE 24|QUADRA 40/LOTE 25|QUADRA 40/LOTE 26|QUADRA 40/LOTE 27|QUADRA 40/LOTE 28|QUADRA 40/LOTE 29|QUADRA 40/LOTE 30|QUADRA 40/LOTE 31|QUADRA 41/LOTE 01|QUADRA 41/LOTE 02|QUADRA 41/LOTE 03|QUADRA 41/LOTE 04|QUADRA 41/LOTE 05|QUADRA 41/LOTE 06|QUADRA 41/LOTE 07|QUADRA 41/LOTE 08|QUADRA 41/LOTE 09|QUADRA 41/LOTE 10|QUADRA 41/LOTE 11|QUADRA 41/LOTE 12|QUADRA 41/LOTE 13|QUADRA 41/LOTE 14|QUADRA 41/LOTE 15|QUADRA 42/LOTE 01|QUADRA 42/LOTE 02|QUADRA 42/LOTE 03|QUADRA 42/LOTE 04|QUADRA 42/LOTE 05|QUADRA 49/LOTE 01|QUADRA 49/LOTE 02|QUADRA 49/LOTE 03|QUADRA 49/LOTE 04|QUADRA 49/LOTE 05|QUADRA 49/LOTE 06|QUADRA 49/LOTE 07|QUADRA 49/LOTE 08|QUADRA 49/LOTE 28|QUADRA 49/LOTE 29|QUADRA 49/LOTE 30|QUADRA 50/LOTE 01|QUADRA 50/LOTE 02|QUADRA 50/LOTE 03|QUADRA 50/LOTE 04|QUADRA 50/LOTE 05|QUADRA 50/LOTE 06|QUADRA 50/LOTE 07|QUADRA 50/LOTE 08|QUADRA 50/LOTE 09|QUADRA 50/LOTE 10|QUADRA 50/LOTE 11|QUADRA 50/LOTE 12|QUADRA 50/LOTE 13|QUADRA 50/LOTE 14|QUADRA 50/LOTE 15|QUADRA 50/LOTE 16|QUADRA 50/LOTE 17|QUADRA 50/LOTE 21|QUADRA 50/LOTE 22|QUADRA 50/LOTE 23|QUADRA 50/LOTE 24|QUADRA 50/LOTE 25|QUADRA 50/LOTE 26|QUADRA 50/LOTE 27|QUADRA 50/LOTE 28|QUADRA 50/LOTE 29|QUADRA 50/LOTE 30|QUADRA 51/LOTE 06|QUADRA 51/LOTE 07|QUADRA 51/LOTE 08|QUADRA 51/LOTE 09|QUADRA 51/LOTE 10|QUADRA 51/LOTE 11|QUADRA 51/LOTE 12|QUADRA 51/LOTE 13|QUADRA 51/LOTE 14|QUADRA 51/LOTE 15|QUADRA 51/LOTE 16|QUADRA 51/LOTE 17|QUADRA 51/LOTE 18|QUADRA 51/LOTE 19|QUADRA 51/LOTE 20|QUADRA 51/LOTE 21|QUADRA 51/LOTE 22|QUADRA 51/LOTE 23|QUADRA 51/LOTE 24|QUADRA 51/LOTE 25|QUADRA 51/LOTE 26|QUADRA 51/LOTE 27|QUADRA 51/LOTE 28|QUADRA 51/LOTE 29|QUADRA 51/LOTE 30|QUADRA 57/LOTE 01|QUADRA 57/LOTE 02|QUADRA 57/LOTE 03|QUADRA 57/LOTE 04|QUADRA 57/LOTE 05|QUADRA 57/LOTE 06|QUADRA 57/LOTE 07|QUADRA 57/LOTE 08|QUADRA 57/LOTE 09|QUADRA 57/LOTE 10|QUADRA 57/LOTE 11|QUADRA 57/LOTE 12|QUADRA 57/LOTE 13|QUADRA 57/LOTE 14|QUADRA 57/LOTE 15|QUADRA 57/LOTE 16|QUADRA 57/LOTE 17|QUADRA 57/LOTE 18|QUADRA 57/LOTE 19|QUADRA 57/LOTE 20|QUADRA 57/LOTE 21|QUADRA 57/LOTE 22|QUADRA 57/LOTE 23|QUADRA 57/LOTE 24|QUADRA 57/LOTE 25|QUADRA 57/LOTE 26|QUADRA 57/LOTE 27|QUADRA 57/LOTE 28|QUADRA 57/LOTE 29|QUADRA 57/LOTE 30|QUADRA 58/LOTE 01|QUADRA 58/LOTE 02|QUADRA 58/LOTE 03|QUADRA 58/LOTE 04|QUADRA 58/LOTE 05|QUADRA 58/LOTE 06|QUADRA 58/LOTE 07|QUADRA 58/LOTE 08|QUADRA 58/LOTE 09|QUADRA 58/LOTE 10|QUADRA 58/LOTE 11|QUADRA 58/LOTE 12|QUADRA 58/LOTE 13|QUADRA 58/LOTE 14|QUADRA 58/LOTE 15|QUADRA 58/LOTE 16|QUADRA 58/LOTE 17|QUADRA 58/LOTE 18|QUADRA 58/LOTE 19|QUADRA 58/LOTE 20|QUADRA 58/LOTE 21|QUADRA 58/LOTE 22|QUADRA 58/LOTE 23|QUADRA 58/LOTE 24|QUADRA 58/LOTE 25|QUADRA 58/LOTE 26|QUADRA 58/LOTE 27|QUADRA 58/LOTE 28|QUADRA 58/LOTE 29|QUADRA 58/LOTE 30|QUADRA 59/LOTE 01|QUADRA 59/LOTE 02|QUADRA 59/LOTE 03|QUADRA 59/LOTE 04|QUADRA 59/LOTE 05|QUADRA 59/LOTE 06|QUADRA 59/LOTE 07|QUADRA 59/LOTE 08|QUADRA 59/LOTE 28|QUADRA 59/LOTE 29|QUADRA 59/LOTE 30|QUADRA 64/LOTE 06|QUADRA 64/LOTE 07|QUADRA 64/LOTE 08|QUADRA 64/LOTE 28|QUADRA 64/LOTE 29|QUADRA 64/LOTE 30|QUADRA 65/LOTE 02|QUADRA 65/LOTE 03|QUADRA 65/LOTE 04|QUADRA 65/LOTE 05|QUADRA 65/LOTE 06|QUADRA 65/LOTE 12|QUADRA 65/LOTE 13|QUADRA 65/LOTE 14|QUADRA 65/LOTE 15|QUADRA 65/LOTE 16|QUADRA 66/LOTE 06|QUADRA 66/LOTE 07|QUADRA 66/LOTE 08|QUADRA 66/LOTE 09|QUADRA 66/LOTE 10|QUADRA 66/LOTE 11|QUADRA 66/LOTE 12|QUADRA 71/LOTE 06|QUADRA 71/LOTE 07|QUADRA 71/LOTE 08|QUADRA 71/LOTE 09|QUADRA 71/LOTE 10|QUADRA 71/LOTE 11|QUADRA 71/LOTE 12|QUADRA 71/LOTE 13|QUADRA 71/LOTE 14|QUADRA 71/LOTE 15|QUADRA 71/LOTE 16|QUADRA 71/LOTE 17|QUADRA 71/LOTE 18|QUADRA 71/LOTE 19|QUADRA 71/LOTE 20|QUADRA 71/LOTE 21|QUADRA 71/LOTE 22|QUADRA 71/LOTE 23|QUADRA 71/LOTE 24|QUADRA 71/LOTE 25|QUADRA 71/LOTE 26|QUADRA 71/LOTE 27|QUADRA 71/LOTE 28|QUADRA 71/LOTE 29|QUADRA 71/LOTE 30|QUADRA 72/LOTE 01|QUADRA 72/LOTE 02|QUADRA 72/LOTE 03|QUADRA 72/LOTE 04|QUADRA 72/LOTE 05|QUADRA 72/LOTE 06|QUADRA 72/LOTE 07|QUADRA 72/LOTE 08|QUADRA 72/LOTE 09|QUADRA 72/LOTE 10|QUADRA 72/LOTE 11|QUADRA 72/LOTE 12|QUADRA 72/LOTE 13|QUADRA 72/LOTE 14|QUADRA 72/LOTE 15|QUADRA 72/LOTE 21|QUADRA 72/LOTE 22|QUADRA 72/LOTE 23|QUADRA 72/LOTE 24|QUADRA 72/LOTE 25|QUADRA 72/LOTE 26|QUADRA 72/LOTE 27|QUADRA 72/LOTE 28|QUADRA 72/LOTE 29|QUADRA 72/LOTE 30|QUADRA 73/LOTE 06|QUADRA 73/LOTE 07|QUADRA 73/LOTE 08|QUADRA 73/LOTE 28|QUADRA 73/LOTE 29|QUADRA 73/LOTE 30|QUADRA 78/LOTE 01|QUADRA 78/LOTE 02|QUADRA 78/LOTE 03|QUADRA 78/LOTE 04|QUADRA 78/LOTE 05|QUADRA 78/LOTE 06|QUADRA 78/LOTE 07|QUADRA 78/LOTE 08|QUADRA 78/LOTE 28|QUADRA 78/LOTE 29|QUADRA 78/LOTE 30|QUADRA 79/LOTE 01|QUADRA 79/LOTE 02|QUADRA 79/LOTE 03|QUADRA 79/LOTE 04|QUADRA 79/LOTE 05|QUADRA 79/LOTE 06|QUADRA 79/LOTE 07|QUADRA 79/LOTE 08|QUADRA 79/LOTE 09|QUADRA 79/LOTE 10|QUADRA 79/LOTE 11|QUADRA 79/LOTE 12|QUADRA 79/LOTE 13|QUADRA 79/LOTE 14|QUADRA 79/LOTE 15|QUADRA 79/LOTE 16|QUADRA 79/LOTE 17|QUADRA 79/LOTE 18|QUADRA 79/LOTE 19|QUADRA 79/LOTE 20|QUADRA 79/LOTE 21|QUADRA 79/LOTE 22|QUADRA 79/LOTE 23|QUADRA 79/LOTE 24|QUADRA 79/LOTE 25|QUADRA 79/LOTE 26|QUADRA 79/LOTE 27|QUADRA 79/LOTE 28|QUADRA 79/LOTE 29|QUADRA 79/LOTE 30|QUADRA 80/LOTE 01|QUADRA 80/LOTE 02|QUADRA 80/LOTE 03|QUADRA 80/LOTE 04|QUADRA 80/LOTE 05|QUADRA 80/LOTE 06|QUADRA 80/LOTE 07|QUADRA 80/LOTE 08|QUADRA 80/LOTE 09|QUADRA 80/LOTE 10|QUADRA 80/LOTE 11|QUADRA 80/LOTE 12|QUADRA 80/LOTE 13|QUADRA 80/LOTE 14|QUADRA 80/LOTE 15|QUADRA 80/LOTE 16|QUADRA 80/LOTE 17|QUADRA 80/LOTE 18|QUADRA 80/LOTE 19|QUADRA 80/LOTE 20|QUADRA 80/LOTE 21|QUADRA 80/LOTE 22|QUADRA 80/LOTE 23|QUADRA 80/LOTE 24|QUADRA 80/LOTE 25|QUADRA 80/LOTE 26|QUADRA 80/LOTE 27|QUADRA 80/LOTE 28|QUADRA 80/LOTE 29|QUADRA 80/LOTE 30|QUADRA 85/LOTE 06|QUADRA 85/LOTE 07|QUADRA 85/LOTE 08|QUADRA 85/LOTE 09|QUADRA 85/LOTE 10|QUADRA 85/LOTE 11|QUADRA 85/LOTE 12|QUADRA 85/LOTE 13|QUADRA 85/LOTE 14|QUADRA 85/LOTE 15|QUADRA 85/LOTE 16|QUADRA 85/LOTE 17|QUADRA 85/LOTE 18|QUADRA 85/LOTE 19|QUADRA 85/LOTE 20|QUADRA 85/LOTE 21|QUADRA 85/LOTE 22|QUADRA 85/LOTE 23|QUADRA 85/LOTE 24|QUADRA 85/LOTE 25|QUADRA 85/LOTE 26|QUADRA 85/LOTE 27|QUADRA 85/LOTE 28|QUADRA 85/LOTE 29|QUADRA 85/LOTE 30|QUADRA 86/LOTE 01|QUADRA 86/LOTE 02|QUADRA 86/LOTE 03|QUADRA 86/LOTE 04|QUADRA 86/LOTE 05|QUADRA 86/LOTE 06|QUADRA 86/LOTE 07|QUADRA 86/LOTE 08|QUADRA 86/LOTE 09|QUADRA 86/LOTE 10|QUADRA 86/LOTE 11|QUADRA 86/LOTE 12|QUADRA 86/LOTE 13|QUADRA 86/LOTE 14|QUADRA 86/LOTE 15|QUADRA 86/LOTE 16|QUADRA 86/LOTE 17|QUADRA 86/LOTE 18|QUADRA 86/LOTE 19|QUADRA 86/LOTE 20|QUADRA 86/LOTE 21|QUADRA 86/LOTE 22|QUADRA 86/LOTE 23|QUADRA 86/LOTE 24|QUADRA 86/LOTE 25|QUADRA 86/LOTE 26|QUADRA 86/LOTE 27|QUADRA 86/LOTE 28|QUADRA 86/LOTE 29|QUADRA 87/LOTE 01|QUADRA 87/LOTE 02|QUADRA 87/LOTE 03|QUADRA 87/LOTE 04|QUADRA 87/LOTE 05|QUADRA 87/LOTE 06|QUADRA 88/LOTE 01|QUADRA 88/LOTE 02|QUADRA 88/LOTE 03|QUADRA 88/LOTE 04|QUADRA 88/LOTE 05|QUADRA 88/LOTE 06|QUADRA 88/LOTE 07|QUADRA 88/LOTE 08|QUADRA 88/LOTE 09|QUADRA 88/LOTE 10|QUADRA 88/LOTE 11|QUADRA 88/LOTE 12|QUADRA 88/LOTE 13|QUADRA 88/LOTE 14|QUADRA 88/LOTE 15|QUADRA 88/LOTE 16|QUADRA 88/LOTE 17|QUADRA 88/LOTE 19|QUADRA 88/LOTE 20|QUADRA 88/LOTE 21|QUADRA 88/LOTE 22|QUADRA 88/LOTE 23</t>
        </is>
      </c>
      <c r="F161" s="47" t="inlineStr">
        <is>
          <t>QUITADO</t>
        </is>
      </c>
      <c r="G161" s="48" t="n">
        <v>173175.86</v>
      </c>
      <c r="H161" s="49" t="n">
        <v>1</v>
      </c>
      <c r="I161" s="49" t="n">
        <v>1</v>
      </c>
      <c r="J161" s="50" t="n">
        <v>173175.86</v>
      </c>
      <c r="K161" s="44" t="n">
        <v>0</v>
      </c>
      <c r="L161" s="48" t="n">
        <v>0</v>
      </c>
      <c r="M161" s="48" t="n">
        <v>0</v>
      </c>
      <c r="N161" s="48" t="n">
        <v>0</v>
      </c>
      <c r="O161" s="48" t="n">
        <v>0</v>
      </c>
      <c r="P161" s="48" t="n">
        <v>0</v>
      </c>
      <c r="Q161" s="50" t="n">
        <v>0</v>
      </c>
      <c r="R161" s="49" t="n">
        <v>0</v>
      </c>
      <c r="S161" s="50" t="n">
        <v>0</v>
      </c>
      <c r="T161" s="48" t="n">
        <v>173175.86</v>
      </c>
      <c r="U161" s="51" t="n">
        <v>1</v>
      </c>
      <c r="V161" s="51" t="n">
        <v>0</v>
      </c>
      <c r="W161" s="51" t="n">
        <v>0</v>
      </c>
      <c r="X161" s="40" t="n"/>
      <c r="Y161" s="45" t="n"/>
      <c r="Z161" s="45" t="inlineStr">
        <is>
          <t>SIM</t>
        </is>
      </c>
    </row>
    <row r="162">
      <c r="A162" s="18" t="inlineStr">
        <is>
          <t>16/CIDAN</t>
        </is>
      </c>
      <c r="B162" s="18" t="inlineStr">
        <is>
          <t>SPE - CIDADE NOVA LTDA</t>
        </is>
      </c>
      <c r="C162" s="18" t="inlineStr">
        <is>
          <t>322</t>
        </is>
      </c>
      <c r="D162" s="18" t="inlineStr">
        <is>
          <t>ITUPIRANGA PALACE HOTEL LTDA - EPP</t>
        </is>
      </c>
      <c r="E162" s="25" t="inlineStr">
        <is>
          <t>QUADRA 54/LOTE 18</t>
        </is>
      </c>
      <c r="F162" s="43" t="inlineStr">
        <is>
          <t>QUITADO</t>
        </is>
      </c>
      <c r="G162" s="22" t="n">
        <v>35438</v>
      </c>
      <c r="H162" s="20" t="n">
        <v>1</v>
      </c>
      <c r="I162" s="20" t="n">
        <v>1</v>
      </c>
      <c r="J162" s="21" t="n">
        <v>35438</v>
      </c>
      <c r="K162" s="44" t="n">
        <v>0</v>
      </c>
      <c r="L162" s="22" t="n">
        <v>0</v>
      </c>
      <c r="M162" s="22" t="n">
        <v>0</v>
      </c>
      <c r="N162" s="22" t="n">
        <v>0</v>
      </c>
      <c r="O162" s="22" t="n">
        <v>0</v>
      </c>
      <c r="P162" s="22" t="n">
        <v>0</v>
      </c>
      <c r="Q162" s="21" t="n">
        <v>0</v>
      </c>
      <c r="R162" s="20" t="n">
        <v>0</v>
      </c>
      <c r="S162" s="21" t="n">
        <v>0</v>
      </c>
      <c r="T162" s="22" t="n">
        <v>35438</v>
      </c>
      <c r="U162" s="23" t="n">
        <v>1</v>
      </c>
      <c r="V162" s="23" t="n">
        <v>0</v>
      </c>
      <c r="W162" s="23" t="n">
        <v>0</v>
      </c>
      <c r="X162" s="40" t="n"/>
      <c r="Y162" s="18" t="n"/>
      <c r="Z162" s="18" t="inlineStr">
        <is>
          <t>NÃO</t>
        </is>
      </c>
    </row>
    <row r="163">
      <c r="A163" s="18" t="inlineStr">
        <is>
          <t>16/CIDAN</t>
        </is>
      </c>
      <c r="B163" s="18" t="inlineStr">
        <is>
          <t>SPE - CIDADE NOVA LTDA</t>
        </is>
      </c>
      <c r="C163" s="18" t="inlineStr">
        <is>
          <t>323</t>
        </is>
      </c>
      <c r="D163" s="18" t="inlineStr">
        <is>
          <t>FREDERICO NOGUEIRA NOBRE DE AMORIM</t>
        </is>
      </c>
      <c r="E163" s="25" t="inlineStr">
        <is>
          <t>QUADRA 19/LOTE 11</t>
        </is>
      </c>
      <c r="F163" s="43" t="inlineStr">
        <is>
          <t>QUITADO</t>
        </is>
      </c>
      <c r="G163" s="22" t="n">
        <v>3000</v>
      </c>
      <c r="H163" s="20" t="n">
        <v>1</v>
      </c>
      <c r="I163" s="20" t="n">
        <v>1</v>
      </c>
      <c r="J163" s="21" t="n">
        <v>3000</v>
      </c>
      <c r="K163" s="44" t="n">
        <v>0</v>
      </c>
      <c r="L163" s="22" t="n">
        <v>0</v>
      </c>
      <c r="M163" s="22" t="n">
        <v>0</v>
      </c>
      <c r="N163" s="22" t="n">
        <v>0</v>
      </c>
      <c r="O163" s="22" t="n">
        <v>0</v>
      </c>
      <c r="P163" s="22" t="n">
        <v>0</v>
      </c>
      <c r="Q163" s="21" t="n">
        <v>0</v>
      </c>
      <c r="R163" s="20" t="n">
        <v>0</v>
      </c>
      <c r="S163" s="21" t="n">
        <v>0</v>
      </c>
      <c r="T163" s="22" t="n">
        <v>3000</v>
      </c>
      <c r="U163" s="23" t="n">
        <v>1</v>
      </c>
      <c r="V163" s="23" t="n">
        <v>0</v>
      </c>
      <c r="W163" s="23" t="n">
        <v>0</v>
      </c>
      <c r="X163" s="40" t="n"/>
      <c r="Y163" s="18" t="n"/>
      <c r="Z163" s="18" t="inlineStr">
        <is>
          <t>NÃO</t>
        </is>
      </c>
    </row>
    <row r="164">
      <c r="A164" s="18" t="inlineStr">
        <is>
          <t>16/CIDAN</t>
        </is>
      </c>
      <c r="B164" s="18" t="inlineStr">
        <is>
          <t>SPE - CIDADE NOVA LTDA</t>
        </is>
      </c>
      <c r="C164" s="18" t="inlineStr">
        <is>
          <t>324</t>
        </is>
      </c>
      <c r="D164" s="18" t="inlineStr">
        <is>
          <t>M. SOCORRO LIMA - ME</t>
        </is>
      </c>
      <c r="E164" s="25" t="inlineStr">
        <is>
          <t>QUADRA 50/LOTE 18</t>
        </is>
      </c>
      <c r="F164" s="43" t="inlineStr">
        <is>
          <t>QUITADO</t>
        </is>
      </c>
      <c r="G164" s="22" t="n">
        <v>23364</v>
      </c>
      <c r="H164" s="20" t="n">
        <v>1</v>
      </c>
      <c r="I164" s="20" t="n">
        <v>1</v>
      </c>
      <c r="J164" s="21" t="n">
        <v>23364</v>
      </c>
      <c r="K164" s="44" t="n">
        <v>0</v>
      </c>
      <c r="L164" s="22" t="n">
        <v>0</v>
      </c>
      <c r="M164" s="22" t="n">
        <v>0</v>
      </c>
      <c r="N164" s="22" t="n">
        <v>0</v>
      </c>
      <c r="O164" s="22" t="n">
        <v>0</v>
      </c>
      <c r="P164" s="22" t="n">
        <v>0</v>
      </c>
      <c r="Q164" s="21" t="n">
        <v>0</v>
      </c>
      <c r="R164" s="20" t="n">
        <v>0</v>
      </c>
      <c r="S164" s="21" t="n">
        <v>0</v>
      </c>
      <c r="T164" s="22" t="n">
        <v>23364</v>
      </c>
      <c r="U164" s="23" t="n">
        <v>1</v>
      </c>
      <c r="V164" s="23" t="n">
        <v>0</v>
      </c>
      <c r="W164" s="23" t="n">
        <v>0</v>
      </c>
      <c r="X164" s="40" t="n"/>
      <c r="Y164" s="18" t="n"/>
      <c r="Z164" s="18" t="inlineStr">
        <is>
          <t>NÃO</t>
        </is>
      </c>
    </row>
    <row r="165">
      <c r="A165" s="18" t="inlineStr">
        <is>
          <t>16/CIDAN</t>
        </is>
      </c>
      <c r="B165" s="18" t="inlineStr">
        <is>
          <t>SPE - CIDADE NOVA LTDA</t>
        </is>
      </c>
      <c r="C165" s="18" t="inlineStr">
        <is>
          <t>325</t>
        </is>
      </c>
      <c r="D165" s="18" t="inlineStr">
        <is>
          <t>M. SOCORRO LIMA - ME</t>
        </is>
      </c>
      <c r="E165" s="25" t="inlineStr">
        <is>
          <t>QUADRA 56/LOTE 10</t>
        </is>
      </c>
      <c r="F165" s="43" t="inlineStr">
        <is>
          <t>QUITADO</t>
        </is>
      </c>
      <c r="G165" s="22" t="n">
        <v>23364</v>
      </c>
      <c r="H165" s="20" t="n">
        <v>1</v>
      </c>
      <c r="I165" s="20" t="n">
        <v>1</v>
      </c>
      <c r="J165" s="21" t="n">
        <v>23364</v>
      </c>
      <c r="K165" s="44" t="n">
        <v>0</v>
      </c>
      <c r="L165" s="22" t="n">
        <v>0</v>
      </c>
      <c r="M165" s="22" t="n">
        <v>0</v>
      </c>
      <c r="N165" s="22" t="n">
        <v>0</v>
      </c>
      <c r="O165" s="22" t="n">
        <v>0</v>
      </c>
      <c r="P165" s="22" t="n">
        <v>0</v>
      </c>
      <c r="Q165" s="21" t="n">
        <v>0</v>
      </c>
      <c r="R165" s="20" t="n">
        <v>0</v>
      </c>
      <c r="S165" s="21" t="n">
        <v>0</v>
      </c>
      <c r="T165" s="22" t="n">
        <v>23364</v>
      </c>
      <c r="U165" s="23" t="n">
        <v>1</v>
      </c>
      <c r="V165" s="23" t="n">
        <v>0</v>
      </c>
      <c r="W165" s="23" t="n">
        <v>0</v>
      </c>
      <c r="X165" s="40" t="n"/>
      <c r="Y165" s="18" t="n"/>
      <c r="Z165" s="18" t="inlineStr">
        <is>
          <t>NÃO</t>
        </is>
      </c>
    </row>
    <row r="166">
      <c r="A166" s="18" t="inlineStr">
        <is>
          <t>16/CIDAN</t>
        </is>
      </c>
      <c r="B166" s="18" t="inlineStr">
        <is>
          <t>SPE - CIDADE NOVA LTDA</t>
        </is>
      </c>
      <c r="C166" s="18" t="inlineStr">
        <is>
          <t>326</t>
        </is>
      </c>
      <c r="D166" s="18" t="inlineStr">
        <is>
          <t>M. SOCORRO LIMA - ME</t>
        </is>
      </c>
      <c r="E166" s="25" t="inlineStr">
        <is>
          <t>QUADRA 93/LOTE 03</t>
        </is>
      </c>
      <c r="F166" s="43" t="inlineStr">
        <is>
          <t>QUITADO</t>
        </is>
      </c>
      <c r="G166" s="22" t="n">
        <v>23364</v>
      </c>
      <c r="H166" s="20" t="n">
        <v>1</v>
      </c>
      <c r="I166" s="20" t="n">
        <v>1</v>
      </c>
      <c r="J166" s="21" t="n">
        <v>23364</v>
      </c>
      <c r="K166" s="44" t="n">
        <v>0</v>
      </c>
      <c r="L166" s="22" t="n">
        <v>0</v>
      </c>
      <c r="M166" s="22" t="n">
        <v>0</v>
      </c>
      <c r="N166" s="22" t="n">
        <v>0</v>
      </c>
      <c r="O166" s="22" t="n">
        <v>0</v>
      </c>
      <c r="P166" s="22" t="n">
        <v>0</v>
      </c>
      <c r="Q166" s="21" t="n">
        <v>0</v>
      </c>
      <c r="R166" s="20" t="n">
        <v>0</v>
      </c>
      <c r="S166" s="21" t="n">
        <v>0</v>
      </c>
      <c r="T166" s="22" t="n">
        <v>23364</v>
      </c>
      <c r="U166" s="23" t="n">
        <v>1</v>
      </c>
      <c r="V166" s="23" t="n">
        <v>0</v>
      </c>
      <c r="W166" s="23" t="n">
        <v>0</v>
      </c>
      <c r="X166" s="40" t="n"/>
      <c r="Y166" s="18" t="n"/>
      <c r="Z166" s="18" t="inlineStr">
        <is>
          <t>NÃO</t>
        </is>
      </c>
    </row>
    <row r="167">
      <c r="A167" s="18" t="inlineStr">
        <is>
          <t>16/CIDAN</t>
        </is>
      </c>
      <c r="B167" s="18" t="inlineStr">
        <is>
          <t>SPE - CIDADE NOVA LTDA</t>
        </is>
      </c>
      <c r="C167" s="18" t="inlineStr">
        <is>
          <t>327</t>
        </is>
      </c>
      <c r="D167" s="18" t="inlineStr">
        <is>
          <t>M. SOCORRO LIMA - ME</t>
        </is>
      </c>
      <c r="E167" s="25" t="inlineStr">
        <is>
          <t>QUADRA 93/LOTE 04</t>
        </is>
      </c>
      <c r="F167" s="43" t="inlineStr">
        <is>
          <t>QUITADO</t>
        </is>
      </c>
      <c r="G167" s="22" t="n">
        <v>23364</v>
      </c>
      <c r="H167" s="20" t="n">
        <v>1</v>
      </c>
      <c r="I167" s="20" t="n">
        <v>1</v>
      </c>
      <c r="J167" s="21" t="n">
        <v>23364</v>
      </c>
      <c r="K167" s="44" t="n">
        <v>0</v>
      </c>
      <c r="L167" s="22" t="n">
        <v>0</v>
      </c>
      <c r="M167" s="22" t="n">
        <v>0</v>
      </c>
      <c r="N167" s="22" t="n">
        <v>0</v>
      </c>
      <c r="O167" s="22" t="n">
        <v>0</v>
      </c>
      <c r="P167" s="22" t="n">
        <v>0</v>
      </c>
      <c r="Q167" s="21" t="n">
        <v>0</v>
      </c>
      <c r="R167" s="20" t="n">
        <v>0</v>
      </c>
      <c r="S167" s="21" t="n">
        <v>0</v>
      </c>
      <c r="T167" s="22" t="n">
        <v>23364</v>
      </c>
      <c r="U167" s="23" t="n">
        <v>1</v>
      </c>
      <c r="V167" s="23" t="n">
        <v>0</v>
      </c>
      <c r="W167" s="23" t="n">
        <v>0</v>
      </c>
      <c r="X167" s="40" t="n"/>
      <c r="Y167" s="18" t="n"/>
      <c r="Z167" s="18" t="inlineStr">
        <is>
          <t>NÃO</t>
        </is>
      </c>
    </row>
    <row r="168">
      <c r="A168" s="18" t="inlineStr">
        <is>
          <t>16/CIDAN</t>
        </is>
      </c>
      <c r="B168" s="18" t="inlineStr">
        <is>
          <t>SPE - CIDADE NOVA LTDA</t>
        </is>
      </c>
      <c r="C168" s="18" t="inlineStr">
        <is>
          <t>328</t>
        </is>
      </c>
      <c r="D168" s="18" t="inlineStr">
        <is>
          <t>FRANCISCO DAS CHAGAS BARBOSA LIMA</t>
        </is>
      </c>
      <c r="E168" s="25" t="inlineStr">
        <is>
          <t>QUADRA 02/LOTE 10</t>
        </is>
      </c>
      <c r="F168" s="43" t="inlineStr">
        <is>
          <t>QUITADO</t>
        </is>
      </c>
      <c r="G168" s="22" t="n">
        <v>0</v>
      </c>
      <c r="H168" s="20" t="n">
        <v>10</v>
      </c>
      <c r="I168" s="20" t="n">
        <v>10</v>
      </c>
      <c r="J168" s="21" t="n">
        <v>10179.12</v>
      </c>
      <c r="K168" s="44" t="n">
        <v>0</v>
      </c>
      <c r="L168" s="22" t="n">
        <v>0</v>
      </c>
      <c r="M168" s="22" t="n">
        <v>0</v>
      </c>
      <c r="N168" s="22" t="n">
        <v>0</v>
      </c>
      <c r="O168" s="22" t="n">
        <v>0</v>
      </c>
      <c r="P168" s="22" t="n">
        <v>0</v>
      </c>
      <c r="Q168" s="21" t="n">
        <v>0</v>
      </c>
      <c r="R168" s="20" t="n">
        <v>0</v>
      </c>
      <c r="S168" s="21" t="n">
        <v>0</v>
      </c>
      <c r="T168" s="22" t="n">
        <v>10179.12</v>
      </c>
      <c r="U168" s="23" t="n">
        <v>1</v>
      </c>
      <c r="V168" s="23" t="n">
        <v>0</v>
      </c>
      <c r="W168" s="23" t="n">
        <v>0</v>
      </c>
      <c r="X168" s="40" t="n"/>
      <c r="Y168" s="18" t="n"/>
      <c r="Z168" s="18" t="inlineStr">
        <is>
          <t>NÃO</t>
        </is>
      </c>
    </row>
    <row r="169">
      <c r="A169" s="18" t="inlineStr">
        <is>
          <t>16/CIDAN</t>
        </is>
      </c>
      <c r="B169" s="18" t="inlineStr">
        <is>
          <t>SPE - CIDADE NOVA LTDA</t>
        </is>
      </c>
      <c r="C169" s="18" t="inlineStr">
        <is>
          <t>329</t>
        </is>
      </c>
      <c r="D169" s="18" t="inlineStr">
        <is>
          <t>PAULO HENRIQUE DA SILVA OLIVEIRA</t>
        </is>
      </c>
      <c r="E169" s="25" t="inlineStr">
        <is>
          <t>QUADRA 02/LOTE 14</t>
        </is>
      </c>
      <c r="F169" s="43" t="inlineStr">
        <is>
          <t>QUITADO</t>
        </is>
      </c>
      <c r="G169" s="22" t="n">
        <v>0</v>
      </c>
      <c r="H169" s="20" t="n">
        <v>10</v>
      </c>
      <c r="I169" s="20" t="n">
        <v>10</v>
      </c>
      <c r="J169" s="21" t="n">
        <v>10088.4</v>
      </c>
      <c r="K169" s="44" t="n">
        <v>0</v>
      </c>
      <c r="L169" s="22" t="n">
        <v>0</v>
      </c>
      <c r="M169" s="22" t="n">
        <v>0</v>
      </c>
      <c r="N169" s="22" t="n">
        <v>0</v>
      </c>
      <c r="O169" s="22" t="n">
        <v>0</v>
      </c>
      <c r="P169" s="22" t="n">
        <v>0</v>
      </c>
      <c r="Q169" s="21" t="n">
        <v>0</v>
      </c>
      <c r="R169" s="20" t="n">
        <v>0</v>
      </c>
      <c r="S169" s="21" t="n">
        <v>0</v>
      </c>
      <c r="T169" s="22" t="n">
        <v>10088.4</v>
      </c>
      <c r="U169" s="23" t="n">
        <v>1</v>
      </c>
      <c r="V169" s="23" t="n">
        <v>0</v>
      </c>
      <c r="W169" s="23" t="n">
        <v>0</v>
      </c>
      <c r="X169" s="40" t="n"/>
      <c r="Y169" s="18" t="n"/>
      <c r="Z169" s="18" t="inlineStr">
        <is>
          <t>NÃO</t>
        </is>
      </c>
    </row>
    <row r="170">
      <c r="A170" s="18" t="inlineStr">
        <is>
          <t>16/CIDAN</t>
        </is>
      </c>
      <c r="B170" s="18" t="inlineStr">
        <is>
          <t>SPE - CIDADE NOVA LTDA</t>
        </is>
      </c>
      <c r="C170" s="18" t="inlineStr">
        <is>
          <t>332</t>
        </is>
      </c>
      <c r="D170" s="18" t="inlineStr">
        <is>
          <t>ROZENILDE DAMACENA CARVALHO</t>
        </is>
      </c>
      <c r="E170" s="25" t="inlineStr">
        <is>
          <t>QUADRA 02/LOTE 16</t>
        </is>
      </c>
      <c r="F170" s="43" t="inlineStr">
        <is>
          <t>QUITADO</t>
        </is>
      </c>
      <c r="G170" s="22" t="n">
        <v>0</v>
      </c>
      <c r="H170" s="20" t="n">
        <v>10</v>
      </c>
      <c r="I170" s="20" t="n">
        <v>10</v>
      </c>
      <c r="J170" s="21" t="n">
        <v>10025.03</v>
      </c>
      <c r="K170" s="44" t="n">
        <v>0</v>
      </c>
      <c r="L170" s="22" t="n">
        <v>0</v>
      </c>
      <c r="M170" s="22" t="n">
        <v>0</v>
      </c>
      <c r="N170" s="22" t="n">
        <v>0</v>
      </c>
      <c r="O170" s="22" t="n">
        <v>0</v>
      </c>
      <c r="P170" s="22" t="n">
        <v>0</v>
      </c>
      <c r="Q170" s="21" t="n">
        <v>0</v>
      </c>
      <c r="R170" s="20" t="n">
        <v>0</v>
      </c>
      <c r="S170" s="21" t="n">
        <v>0</v>
      </c>
      <c r="T170" s="22" t="n">
        <v>10025.03</v>
      </c>
      <c r="U170" s="23" t="n">
        <v>1</v>
      </c>
      <c r="V170" s="23" t="n">
        <v>0</v>
      </c>
      <c r="W170" s="23" t="n">
        <v>0</v>
      </c>
      <c r="X170" s="40" t="n"/>
      <c r="Y170" s="18" t="n"/>
      <c r="Z170" s="18" t="inlineStr">
        <is>
          <t>NÃO</t>
        </is>
      </c>
    </row>
    <row r="171">
      <c r="A171" s="18" t="inlineStr">
        <is>
          <t>16/CIDAN</t>
        </is>
      </c>
      <c r="B171" s="18" t="inlineStr">
        <is>
          <t>SPE - CIDADE NOVA LTDA</t>
        </is>
      </c>
      <c r="C171" s="18" t="inlineStr">
        <is>
          <t>333</t>
        </is>
      </c>
      <c r="D171" s="18" t="inlineStr">
        <is>
          <t>ROZENILDE DAMACENA CARVALHO</t>
        </is>
      </c>
      <c r="E171" s="25" t="inlineStr">
        <is>
          <t>QUADRA 02/LOTE 17</t>
        </is>
      </c>
      <c r="F171" s="43" t="inlineStr">
        <is>
          <t>QUITADO</t>
        </is>
      </c>
      <c r="G171" s="22" t="n">
        <v>0</v>
      </c>
      <c r="H171" s="20" t="n">
        <v>10</v>
      </c>
      <c r="I171" s="20" t="n">
        <v>10</v>
      </c>
      <c r="J171" s="21" t="n">
        <v>10025.05</v>
      </c>
      <c r="K171" s="44" t="n">
        <v>0</v>
      </c>
      <c r="L171" s="22" t="n">
        <v>0</v>
      </c>
      <c r="M171" s="22" t="n">
        <v>0</v>
      </c>
      <c r="N171" s="22" t="n">
        <v>0</v>
      </c>
      <c r="O171" s="22" t="n">
        <v>0</v>
      </c>
      <c r="P171" s="22" t="n">
        <v>0</v>
      </c>
      <c r="Q171" s="21" t="n">
        <v>0</v>
      </c>
      <c r="R171" s="20" t="n">
        <v>0</v>
      </c>
      <c r="S171" s="21" t="n">
        <v>0</v>
      </c>
      <c r="T171" s="22" t="n">
        <v>10025.05</v>
      </c>
      <c r="U171" s="23" t="n">
        <v>1</v>
      </c>
      <c r="V171" s="23" t="n">
        <v>0</v>
      </c>
      <c r="W171" s="23" t="n">
        <v>0</v>
      </c>
      <c r="X171" s="40" t="n"/>
      <c r="Y171" s="18" t="n"/>
      <c r="Z171" s="18" t="inlineStr">
        <is>
          <t>NÃO</t>
        </is>
      </c>
    </row>
    <row r="172">
      <c r="A172" s="18" t="inlineStr">
        <is>
          <t>16/CIDAN</t>
        </is>
      </c>
      <c r="B172" s="18" t="inlineStr">
        <is>
          <t>SPE - CIDADE NOVA LTDA</t>
        </is>
      </c>
      <c r="C172" s="18" t="inlineStr">
        <is>
          <t>334</t>
        </is>
      </c>
      <c r="D172" s="18" t="inlineStr">
        <is>
          <t>ELINALVA DE SOUSA</t>
        </is>
      </c>
      <c r="E172" s="25" t="inlineStr">
        <is>
          <t>QUADRA 02/LOTE 11</t>
        </is>
      </c>
      <c r="F172" s="43" t="inlineStr">
        <is>
          <t>QUITADO</t>
        </is>
      </c>
      <c r="G172" s="22" t="n">
        <v>0</v>
      </c>
      <c r="H172" s="20" t="n">
        <v>10</v>
      </c>
      <c r="I172" s="20" t="n">
        <v>10</v>
      </c>
      <c r="J172" s="21" t="n">
        <v>10026.72</v>
      </c>
      <c r="K172" s="44" t="n">
        <v>0</v>
      </c>
      <c r="L172" s="22" t="n">
        <v>0</v>
      </c>
      <c r="M172" s="22" t="n">
        <v>0</v>
      </c>
      <c r="N172" s="22" t="n">
        <v>0</v>
      </c>
      <c r="O172" s="22" t="n">
        <v>0</v>
      </c>
      <c r="P172" s="22" t="n">
        <v>0</v>
      </c>
      <c r="Q172" s="21" t="n">
        <v>0</v>
      </c>
      <c r="R172" s="20" t="n">
        <v>0</v>
      </c>
      <c r="S172" s="21" t="n">
        <v>0</v>
      </c>
      <c r="T172" s="22" t="n">
        <v>10026.72</v>
      </c>
      <c r="U172" s="23" t="n">
        <v>1</v>
      </c>
      <c r="V172" s="23" t="n">
        <v>0</v>
      </c>
      <c r="W172" s="23" t="n">
        <v>0</v>
      </c>
      <c r="X172" s="40" t="n"/>
      <c r="Y172" s="18" t="n"/>
      <c r="Z172" s="18" t="inlineStr">
        <is>
          <t>NÃO</t>
        </is>
      </c>
    </row>
    <row r="173">
      <c r="A173" s="18" t="inlineStr">
        <is>
          <t>16/CIDAN</t>
        </is>
      </c>
      <c r="B173" s="18" t="inlineStr">
        <is>
          <t>SPE - CIDADE NOVA LTDA</t>
        </is>
      </c>
      <c r="C173" s="18" t="inlineStr">
        <is>
          <t>335</t>
        </is>
      </c>
      <c r="D173" s="18" t="inlineStr">
        <is>
          <t>JOÃO VITOR FARIAS DE CASTRO</t>
        </is>
      </c>
      <c r="E173" s="25" t="inlineStr">
        <is>
          <t>QUADRA 02/LOTE 12</t>
        </is>
      </c>
      <c r="F173" s="43" t="inlineStr">
        <is>
          <t>QUITADO</t>
        </is>
      </c>
      <c r="G173" s="22" t="n">
        <v>0</v>
      </c>
      <c r="H173" s="20" t="n">
        <v>10</v>
      </c>
      <c r="I173" s="20" t="n">
        <v>2</v>
      </c>
      <c r="J173" s="21" t="n">
        <v>2000</v>
      </c>
      <c r="K173" s="44" t="n">
        <v>0</v>
      </c>
      <c r="L173" s="22" t="n">
        <v>0</v>
      </c>
      <c r="M173" s="22" t="n">
        <v>0</v>
      </c>
      <c r="N173" s="22" t="n">
        <v>0</v>
      </c>
      <c r="O173" s="22" t="n">
        <v>0</v>
      </c>
      <c r="P173" s="22" t="n">
        <v>0</v>
      </c>
      <c r="Q173" s="21" t="n">
        <v>0</v>
      </c>
      <c r="R173" s="20" t="n">
        <v>0</v>
      </c>
      <c r="S173" s="21" t="n">
        <v>0</v>
      </c>
      <c r="T173" s="22" t="n">
        <v>2000</v>
      </c>
      <c r="U173" s="23" t="n">
        <v>1</v>
      </c>
      <c r="V173" s="23" t="n">
        <v>0</v>
      </c>
      <c r="W173" s="23" t="n">
        <v>0</v>
      </c>
      <c r="X173" s="40" t="n"/>
      <c r="Y173" s="18" t="n"/>
      <c r="Z173" s="18" t="inlineStr">
        <is>
          <t>NÃO</t>
        </is>
      </c>
    </row>
    <row r="174">
      <c r="A174" s="18" t="inlineStr">
        <is>
          <t>16/CIDAN</t>
        </is>
      </c>
      <c r="B174" s="18" t="inlineStr">
        <is>
          <t>SPE - CIDADE NOVA LTDA</t>
        </is>
      </c>
      <c r="C174" s="18" t="inlineStr">
        <is>
          <t>336</t>
        </is>
      </c>
      <c r="D174" s="18" t="inlineStr">
        <is>
          <t>VANESSA MENDES SILVA</t>
        </is>
      </c>
      <c r="E174" s="25" t="inlineStr">
        <is>
          <t>QUADRA 02/LOTE 13</t>
        </is>
      </c>
      <c r="F174" s="43" t="inlineStr">
        <is>
          <t>QUITADO</t>
        </is>
      </c>
      <c r="G174" s="22" t="n">
        <v>0</v>
      </c>
      <c r="H174" s="20" t="n">
        <v>10</v>
      </c>
      <c r="I174" s="20" t="n">
        <v>10</v>
      </c>
      <c r="J174" s="21" t="n">
        <v>10251.2</v>
      </c>
      <c r="K174" s="44" t="n">
        <v>0</v>
      </c>
      <c r="L174" s="22" t="n">
        <v>0</v>
      </c>
      <c r="M174" s="22" t="n">
        <v>0</v>
      </c>
      <c r="N174" s="22" t="n">
        <v>0</v>
      </c>
      <c r="O174" s="22" t="n">
        <v>0</v>
      </c>
      <c r="P174" s="22" t="n">
        <v>0</v>
      </c>
      <c r="Q174" s="21" t="n">
        <v>0</v>
      </c>
      <c r="R174" s="20" t="n">
        <v>0</v>
      </c>
      <c r="S174" s="21" t="n">
        <v>0</v>
      </c>
      <c r="T174" s="22" t="n">
        <v>10251.2</v>
      </c>
      <c r="U174" s="23" t="n">
        <v>1</v>
      </c>
      <c r="V174" s="23" t="n">
        <v>0</v>
      </c>
      <c r="W174" s="23" t="n">
        <v>0</v>
      </c>
      <c r="X174" s="40" t="n"/>
      <c r="Y174" s="18" t="n"/>
      <c r="Z174" s="18" t="inlineStr">
        <is>
          <t>NÃO</t>
        </is>
      </c>
    </row>
    <row r="175">
      <c r="A175" s="18" t="inlineStr">
        <is>
          <t>16/CIDAN</t>
        </is>
      </c>
      <c r="B175" s="18" t="inlineStr">
        <is>
          <t>SPE - CIDADE NOVA LTDA</t>
        </is>
      </c>
      <c r="C175" s="18" t="inlineStr">
        <is>
          <t>338</t>
        </is>
      </c>
      <c r="D175" s="18" t="inlineStr">
        <is>
          <t>NEUSA PEREIRA DE MIRANDA</t>
        </is>
      </c>
      <c r="E175" s="25" t="inlineStr">
        <is>
          <t>QUADRA 08/LOTE 23</t>
        </is>
      </c>
      <c r="F175" s="43" t="inlineStr">
        <is>
          <t>QUITADO</t>
        </is>
      </c>
      <c r="G175" s="22" t="n">
        <v>9200</v>
      </c>
      <c r="H175" s="20" t="n">
        <v>1</v>
      </c>
      <c r="I175" s="20" t="n">
        <v>1</v>
      </c>
      <c r="J175" s="21" t="n">
        <v>9200</v>
      </c>
      <c r="K175" s="44" t="n">
        <v>0</v>
      </c>
      <c r="L175" s="22" t="n">
        <v>0</v>
      </c>
      <c r="M175" s="22" t="n">
        <v>0</v>
      </c>
      <c r="N175" s="22" t="n">
        <v>0</v>
      </c>
      <c r="O175" s="22" t="n">
        <v>0</v>
      </c>
      <c r="P175" s="22" t="n">
        <v>0</v>
      </c>
      <c r="Q175" s="21" t="n">
        <v>0</v>
      </c>
      <c r="R175" s="20" t="n">
        <v>0</v>
      </c>
      <c r="S175" s="21" t="n">
        <v>0</v>
      </c>
      <c r="T175" s="22" t="n">
        <v>9200</v>
      </c>
      <c r="U175" s="23" t="n">
        <v>1</v>
      </c>
      <c r="V175" s="23" t="n">
        <v>0</v>
      </c>
      <c r="W175" s="23" t="n">
        <v>0</v>
      </c>
      <c r="X175" s="40" t="n"/>
      <c r="Y175" s="18" t="n"/>
      <c r="Z175" s="18" t="inlineStr">
        <is>
          <t>NÃO</t>
        </is>
      </c>
    </row>
    <row r="176">
      <c r="A176" s="18" t="inlineStr">
        <is>
          <t>16/CIDAN</t>
        </is>
      </c>
      <c r="B176" s="18" t="inlineStr">
        <is>
          <t>SPE - CIDADE NOVA LTDA</t>
        </is>
      </c>
      <c r="C176" s="18" t="inlineStr">
        <is>
          <t>340</t>
        </is>
      </c>
      <c r="D176" s="18" t="inlineStr">
        <is>
          <t>MAURO PEREIRA DE LIMA</t>
        </is>
      </c>
      <c r="E176" s="25" t="inlineStr">
        <is>
          <t>QUADRA 01/LOTE 05</t>
        </is>
      </c>
      <c r="F176" s="43" t="inlineStr">
        <is>
          <t>QUITADO</t>
        </is>
      </c>
      <c r="G176" s="22" t="n">
        <v>0</v>
      </c>
      <c r="H176" s="20" t="n">
        <v>10</v>
      </c>
      <c r="I176" s="20" t="n">
        <v>10</v>
      </c>
      <c r="J176" s="21" t="n">
        <v>8559.889999999999</v>
      </c>
      <c r="K176" s="44" t="n">
        <v>0</v>
      </c>
      <c r="L176" s="22" t="n">
        <v>0</v>
      </c>
      <c r="M176" s="22" t="n">
        <v>0</v>
      </c>
      <c r="N176" s="22" t="n">
        <v>0</v>
      </c>
      <c r="O176" s="22" t="n">
        <v>0</v>
      </c>
      <c r="P176" s="22" t="n">
        <v>0</v>
      </c>
      <c r="Q176" s="21" t="n">
        <v>0</v>
      </c>
      <c r="R176" s="20" t="n">
        <v>0</v>
      </c>
      <c r="S176" s="21" t="n">
        <v>0</v>
      </c>
      <c r="T176" s="22" t="n">
        <v>8559.889999999999</v>
      </c>
      <c r="U176" s="23" t="n">
        <v>1</v>
      </c>
      <c r="V176" s="23" t="n">
        <v>0</v>
      </c>
      <c r="W176" s="23" t="n">
        <v>0</v>
      </c>
      <c r="X176" s="40" t="n"/>
      <c r="Y176" s="18" t="n"/>
      <c r="Z176" s="18" t="inlineStr">
        <is>
          <t>NÃO</t>
        </is>
      </c>
    </row>
    <row r="177">
      <c r="A177" s="18" t="inlineStr">
        <is>
          <t>16/CIDAN</t>
        </is>
      </c>
      <c r="B177" s="18" t="inlineStr">
        <is>
          <t>SPE - CIDADE NOVA LTDA</t>
        </is>
      </c>
      <c r="C177" s="18" t="inlineStr">
        <is>
          <t>341</t>
        </is>
      </c>
      <c r="D177" s="18" t="inlineStr">
        <is>
          <t>OZAIR VERAS DO LAGO NETO</t>
        </is>
      </c>
      <c r="E177" s="25" t="inlineStr">
        <is>
          <t>QUADRA 07/LOTE 16</t>
        </is>
      </c>
      <c r="F177" s="43" t="inlineStr">
        <is>
          <t>QUITADO</t>
        </is>
      </c>
      <c r="G177" s="22" t="n">
        <v>0</v>
      </c>
      <c r="H177" s="20" t="n">
        <v>24</v>
      </c>
      <c r="I177" s="20" t="n">
        <v>14</v>
      </c>
      <c r="J177" s="21" t="n">
        <v>10213</v>
      </c>
      <c r="K177" s="44" t="n">
        <v>0</v>
      </c>
      <c r="L177" s="22" t="n">
        <v>0</v>
      </c>
      <c r="M177" s="22" t="n">
        <v>0</v>
      </c>
      <c r="N177" s="22" t="n">
        <v>0</v>
      </c>
      <c r="O177" s="22" t="n">
        <v>0</v>
      </c>
      <c r="P177" s="22" t="n">
        <v>0</v>
      </c>
      <c r="Q177" s="21" t="n">
        <v>0</v>
      </c>
      <c r="R177" s="20" t="n">
        <v>0</v>
      </c>
      <c r="S177" s="21" t="n">
        <v>0</v>
      </c>
      <c r="T177" s="22" t="n">
        <v>10213</v>
      </c>
      <c r="U177" s="23" t="n">
        <v>1</v>
      </c>
      <c r="V177" s="23" t="n">
        <v>0</v>
      </c>
      <c r="W177" s="23" t="n">
        <v>0</v>
      </c>
      <c r="X177" s="40" t="n"/>
      <c r="Y177" s="18" t="n"/>
      <c r="Z177" s="18" t="inlineStr">
        <is>
          <t>NÃO</t>
        </is>
      </c>
    </row>
    <row r="178">
      <c r="A178" s="18" t="inlineStr">
        <is>
          <t>16/CIDAN</t>
        </is>
      </c>
      <c r="B178" s="18" t="inlineStr">
        <is>
          <t>SPE - CIDADE NOVA LTDA</t>
        </is>
      </c>
      <c r="C178" s="18" t="inlineStr">
        <is>
          <t>342</t>
        </is>
      </c>
      <c r="D178" s="18" t="inlineStr">
        <is>
          <t>JOANA RIBEIRO DOS SANTOS</t>
        </is>
      </c>
      <c r="E178" s="25" t="inlineStr">
        <is>
          <t>QUADRA 09/LOTE 17</t>
        </is>
      </c>
      <c r="F178" s="43" t="inlineStr">
        <is>
          <t>QUITADO</t>
        </is>
      </c>
      <c r="G178" s="22" t="n">
        <v>0</v>
      </c>
      <c r="H178" s="20" t="n">
        <v>60</v>
      </c>
      <c r="I178" s="20" t="n">
        <v>60</v>
      </c>
      <c r="J178" s="21" t="n">
        <v>27983.16</v>
      </c>
      <c r="K178" s="44" t="n">
        <v>0</v>
      </c>
      <c r="L178" s="22" t="n">
        <v>0</v>
      </c>
      <c r="M178" s="22" t="n">
        <v>0</v>
      </c>
      <c r="N178" s="22" t="n">
        <v>0</v>
      </c>
      <c r="O178" s="22" t="n">
        <v>0</v>
      </c>
      <c r="P178" s="22" t="n">
        <v>0</v>
      </c>
      <c r="Q178" s="21" t="n">
        <v>0</v>
      </c>
      <c r="R178" s="20" t="n">
        <v>0</v>
      </c>
      <c r="S178" s="21" t="n">
        <v>0</v>
      </c>
      <c r="T178" s="22" t="n">
        <v>27983.16</v>
      </c>
      <c r="U178" s="23" t="n">
        <v>1</v>
      </c>
      <c r="V178" s="23" t="n">
        <v>0</v>
      </c>
      <c r="W178" s="23" t="n">
        <v>0</v>
      </c>
      <c r="X178" s="40" t="n"/>
      <c r="Y178" s="18" t="n"/>
      <c r="Z178" s="18" t="inlineStr">
        <is>
          <t>NÃO</t>
        </is>
      </c>
    </row>
    <row r="179">
      <c r="A179" s="18" t="inlineStr">
        <is>
          <t>16/CIDAN</t>
        </is>
      </c>
      <c r="B179" s="18" t="inlineStr">
        <is>
          <t>SPE - CIDADE NOVA LTDA</t>
        </is>
      </c>
      <c r="C179" s="18" t="inlineStr">
        <is>
          <t>344</t>
        </is>
      </c>
      <c r="D179" s="18" t="inlineStr">
        <is>
          <t>CICERA ALMEIDA ALVES</t>
        </is>
      </c>
      <c r="E179" s="25" t="inlineStr">
        <is>
          <t>QUADRA 08/LOTE 12</t>
        </is>
      </c>
      <c r="F179" s="43" t="inlineStr">
        <is>
          <t>QUITADO</t>
        </is>
      </c>
      <c r="G179" s="22" t="n">
        <v>0</v>
      </c>
      <c r="H179" s="20" t="n">
        <v>60</v>
      </c>
      <c r="I179" s="20" t="n">
        <v>33</v>
      </c>
      <c r="J179" s="21" t="n">
        <v>6268.55</v>
      </c>
      <c r="K179" s="44" t="n">
        <v>0</v>
      </c>
      <c r="L179" s="22" t="n">
        <v>0</v>
      </c>
      <c r="M179" s="22" t="n">
        <v>0</v>
      </c>
      <c r="N179" s="22" t="n">
        <v>0</v>
      </c>
      <c r="O179" s="22" t="n">
        <v>0</v>
      </c>
      <c r="P179" s="22" t="n">
        <v>0</v>
      </c>
      <c r="Q179" s="21" t="n">
        <v>0</v>
      </c>
      <c r="R179" s="20" t="n">
        <v>0</v>
      </c>
      <c r="S179" s="21" t="n">
        <v>0</v>
      </c>
      <c r="T179" s="22" t="n">
        <v>6268.55</v>
      </c>
      <c r="U179" s="23" t="n">
        <v>1</v>
      </c>
      <c r="V179" s="23" t="n">
        <v>0</v>
      </c>
      <c r="W179" s="23" t="n">
        <v>0</v>
      </c>
      <c r="X179" s="40" t="n"/>
      <c r="Y179" s="18" t="n"/>
      <c r="Z179" s="18" t="inlineStr">
        <is>
          <t>NÃO</t>
        </is>
      </c>
    </row>
    <row r="180">
      <c r="A180" s="18" t="inlineStr">
        <is>
          <t>16/CIDAN</t>
        </is>
      </c>
      <c r="B180" s="18" t="inlineStr">
        <is>
          <t>SPE - CIDADE NOVA LTDA</t>
        </is>
      </c>
      <c r="C180" s="18" t="inlineStr">
        <is>
          <t>348</t>
        </is>
      </c>
      <c r="D180" s="18" t="inlineStr">
        <is>
          <t>MISSILENE DE SOUSA ARAUJO</t>
        </is>
      </c>
      <c r="E180" s="25" t="inlineStr">
        <is>
          <t>QUADRA 08/LOTE 11</t>
        </is>
      </c>
      <c r="F180" s="43" t="inlineStr">
        <is>
          <t>QUITADO</t>
        </is>
      </c>
      <c r="G180" s="22" t="n">
        <v>0</v>
      </c>
      <c r="H180" s="20" t="n">
        <v>60</v>
      </c>
      <c r="I180" s="20" t="n">
        <v>60</v>
      </c>
      <c r="J180" s="21" t="n">
        <v>12933.7</v>
      </c>
      <c r="K180" s="44" t="n">
        <v>0</v>
      </c>
      <c r="L180" s="22" t="n">
        <v>0</v>
      </c>
      <c r="M180" s="22" t="n">
        <v>0</v>
      </c>
      <c r="N180" s="22" t="n">
        <v>0</v>
      </c>
      <c r="O180" s="22" t="n">
        <v>0</v>
      </c>
      <c r="P180" s="22" t="n">
        <v>0</v>
      </c>
      <c r="Q180" s="21" t="n">
        <v>0</v>
      </c>
      <c r="R180" s="20" t="n">
        <v>0</v>
      </c>
      <c r="S180" s="21" t="n">
        <v>0</v>
      </c>
      <c r="T180" s="22" t="n">
        <v>12933.7</v>
      </c>
      <c r="U180" s="23" t="n">
        <v>1</v>
      </c>
      <c r="V180" s="23" t="n">
        <v>0</v>
      </c>
      <c r="W180" s="23" t="n">
        <v>0</v>
      </c>
      <c r="X180" s="40" t="n"/>
      <c r="Y180" s="18" t="n"/>
      <c r="Z180" s="18" t="inlineStr">
        <is>
          <t>NÃO</t>
        </is>
      </c>
    </row>
    <row r="181">
      <c r="A181" s="18" t="inlineStr">
        <is>
          <t>16/CIDAN</t>
        </is>
      </c>
      <c r="B181" s="18" t="inlineStr">
        <is>
          <t>SPE - CIDADE NOVA LTDA</t>
        </is>
      </c>
      <c r="C181" s="18" t="inlineStr">
        <is>
          <t>349</t>
        </is>
      </c>
      <c r="D181" s="18" t="inlineStr">
        <is>
          <t>DARLENE ALMEIDA CARDOSO</t>
        </is>
      </c>
      <c r="E181" s="25" t="inlineStr">
        <is>
          <t>QUADRA 08/LOTE 14</t>
        </is>
      </c>
      <c r="F181" s="43" t="inlineStr">
        <is>
          <t>QUITADO</t>
        </is>
      </c>
      <c r="G181" s="22" t="n">
        <v>0</v>
      </c>
      <c r="H181" s="20" t="n">
        <v>60</v>
      </c>
      <c r="I181" s="20" t="n">
        <v>60</v>
      </c>
      <c r="J181" s="21" t="n">
        <v>12954.73</v>
      </c>
      <c r="K181" s="44" t="n">
        <v>0</v>
      </c>
      <c r="L181" s="22" t="n">
        <v>0</v>
      </c>
      <c r="M181" s="22" t="n">
        <v>0</v>
      </c>
      <c r="N181" s="22" t="n">
        <v>0</v>
      </c>
      <c r="O181" s="22" t="n">
        <v>0</v>
      </c>
      <c r="P181" s="22" t="n">
        <v>0</v>
      </c>
      <c r="Q181" s="21" t="n">
        <v>0</v>
      </c>
      <c r="R181" s="20" t="n">
        <v>0</v>
      </c>
      <c r="S181" s="21" t="n">
        <v>0</v>
      </c>
      <c r="T181" s="22" t="n">
        <v>12954.73</v>
      </c>
      <c r="U181" s="23" t="n">
        <v>1</v>
      </c>
      <c r="V181" s="23" t="n">
        <v>0</v>
      </c>
      <c r="W181" s="23" t="n">
        <v>0</v>
      </c>
      <c r="X181" s="40" t="n"/>
      <c r="Y181" s="18" t="n"/>
      <c r="Z181" s="18" t="inlineStr">
        <is>
          <t>NÃO</t>
        </is>
      </c>
    </row>
    <row r="182">
      <c r="A182" s="18" t="inlineStr">
        <is>
          <t>16/CIDAN</t>
        </is>
      </c>
      <c r="B182" s="18" t="inlineStr">
        <is>
          <t>SPE - CIDADE NOVA LTDA</t>
        </is>
      </c>
      <c r="C182" s="18" t="inlineStr">
        <is>
          <t>35</t>
        </is>
      </c>
      <c r="D182" s="18" t="inlineStr">
        <is>
          <t>ANTONIO BATISTA DOS SANTOS</t>
        </is>
      </c>
      <c r="E182" s="25" t="inlineStr">
        <is>
          <t>QUADRA 10/LOTE 20</t>
        </is>
      </c>
      <c r="F182" s="43" t="inlineStr">
        <is>
          <t>QUITADO</t>
        </is>
      </c>
      <c r="G182" s="22" t="n">
        <v>0</v>
      </c>
      <c r="H182" s="20" t="n">
        <v>178</v>
      </c>
      <c r="I182" s="20" t="n">
        <v>2</v>
      </c>
      <c r="J182" s="21" t="n">
        <v>354.96</v>
      </c>
      <c r="K182" s="44" t="n">
        <v>0</v>
      </c>
      <c r="L182" s="22" t="n">
        <v>0</v>
      </c>
      <c r="M182" s="22" t="n">
        <v>0</v>
      </c>
      <c r="N182" s="22" t="n">
        <v>0</v>
      </c>
      <c r="O182" s="22" t="n">
        <v>0</v>
      </c>
      <c r="P182" s="22" t="n">
        <v>0</v>
      </c>
      <c r="Q182" s="21" t="n">
        <v>0</v>
      </c>
      <c r="R182" s="20" t="n">
        <v>0</v>
      </c>
      <c r="S182" s="21" t="n">
        <v>0</v>
      </c>
      <c r="T182" s="22" t="n">
        <v>354.96</v>
      </c>
      <c r="U182" s="23" t="n">
        <v>1</v>
      </c>
      <c r="V182" s="23" t="n">
        <v>0</v>
      </c>
      <c r="W182" s="23" t="n">
        <v>0</v>
      </c>
      <c r="X182" s="40" t="n"/>
      <c r="Y182" s="18" t="n"/>
      <c r="Z182" s="18" t="inlineStr">
        <is>
          <t>NÃO</t>
        </is>
      </c>
    </row>
    <row r="183">
      <c r="A183" s="18" t="inlineStr">
        <is>
          <t>16/CIDAN</t>
        </is>
      </c>
      <c r="B183" s="18" t="inlineStr">
        <is>
          <t>SPE - CIDADE NOVA LTDA</t>
        </is>
      </c>
      <c r="C183" s="18" t="inlineStr">
        <is>
          <t>350</t>
        </is>
      </c>
      <c r="D183" s="18" t="inlineStr">
        <is>
          <t>ALESSANDRA COSTA CARVALHO</t>
        </is>
      </c>
      <c r="E183" s="25" t="inlineStr">
        <is>
          <t>QUADRA 08/LOTE 10</t>
        </is>
      </c>
      <c r="F183" s="43" t="inlineStr">
        <is>
          <t>QUITADO</t>
        </is>
      </c>
      <c r="G183" s="22" t="n">
        <v>0</v>
      </c>
      <c r="H183" s="20" t="n">
        <v>60</v>
      </c>
      <c r="I183" s="20" t="n">
        <v>60</v>
      </c>
      <c r="J183" s="21" t="n">
        <v>13103.64</v>
      </c>
      <c r="K183" s="44" t="n">
        <v>0</v>
      </c>
      <c r="L183" s="22" t="n">
        <v>0</v>
      </c>
      <c r="M183" s="22" t="n">
        <v>0</v>
      </c>
      <c r="N183" s="22" t="n">
        <v>0</v>
      </c>
      <c r="O183" s="22" t="n">
        <v>0</v>
      </c>
      <c r="P183" s="22" t="n">
        <v>0</v>
      </c>
      <c r="Q183" s="21" t="n">
        <v>0</v>
      </c>
      <c r="R183" s="20" t="n">
        <v>0</v>
      </c>
      <c r="S183" s="21" t="n">
        <v>0</v>
      </c>
      <c r="T183" s="22" t="n">
        <v>13103.64</v>
      </c>
      <c r="U183" s="23" t="n">
        <v>1</v>
      </c>
      <c r="V183" s="23" t="n">
        <v>0</v>
      </c>
      <c r="W183" s="23" t="n">
        <v>0</v>
      </c>
      <c r="X183" s="40" t="n"/>
      <c r="Y183" s="18" t="n"/>
      <c r="Z183" s="18" t="inlineStr">
        <is>
          <t>NÃO</t>
        </is>
      </c>
    </row>
    <row r="184">
      <c r="A184" s="18" t="inlineStr">
        <is>
          <t>16/CIDAN</t>
        </is>
      </c>
      <c r="B184" s="18" t="inlineStr">
        <is>
          <t>SPE - CIDADE NOVA LTDA</t>
        </is>
      </c>
      <c r="C184" s="18" t="inlineStr">
        <is>
          <t>351</t>
        </is>
      </c>
      <c r="D184" s="18" t="inlineStr">
        <is>
          <t>ALCEDINA GOMES DOS SANTOS</t>
        </is>
      </c>
      <c r="E184" s="25" t="inlineStr">
        <is>
          <t>QUADRA 08/LOTE 09</t>
        </is>
      </c>
      <c r="F184" s="43" t="inlineStr">
        <is>
          <t>QUITADO</t>
        </is>
      </c>
      <c r="G184" s="22" t="n">
        <v>0</v>
      </c>
      <c r="H184" s="20" t="n">
        <v>60</v>
      </c>
      <c r="I184" s="20" t="n">
        <v>60</v>
      </c>
      <c r="J184" s="21" t="n">
        <v>13078.71</v>
      </c>
      <c r="K184" s="44" t="n">
        <v>0</v>
      </c>
      <c r="L184" s="22" t="n">
        <v>0</v>
      </c>
      <c r="M184" s="22" t="n">
        <v>0</v>
      </c>
      <c r="N184" s="22" t="n">
        <v>0</v>
      </c>
      <c r="O184" s="22" t="n">
        <v>0</v>
      </c>
      <c r="P184" s="22" t="n">
        <v>0</v>
      </c>
      <c r="Q184" s="21" t="n">
        <v>0</v>
      </c>
      <c r="R184" s="20" t="n">
        <v>0</v>
      </c>
      <c r="S184" s="21" t="n">
        <v>0</v>
      </c>
      <c r="T184" s="22" t="n">
        <v>13078.71</v>
      </c>
      <c r="U184" s="23" t="n">
        <v>1</v>
      </c>
      <c r="V184" s="23" t="n">
        <v>0</v>
      </c>
      <c r="W184" s="23" t="n">
        <v>0</v>
      </c>
      <c r="X184" s="40" t="n"/>
      <c r="Y184" s="18" t="n"/>
      <c r="Z184" s="18" t="inlineStr">
        <is>
          <t>NÃO</t>
        </is>
      </c>
    </row>
    <row r="185">
      <c r="A185" s="18" t="inlineStr">
        <is>
          <t>16/CIDAN</t>
        </is>
      </c>
      <c r="B185" s="18" t="inlineStr">
        <is>
          <t>SPE - CIDADE NOVA LTDA</t>
        </is>
      </c>
      <c r="C185" s="18" t="inlineStr">
        <is>
          <t>357</t>
        </is>
      </c>
      <c r="D185" s="18" t="inlineStr">
        <is>
          <t>EURIPEDES CARDOSO PARREIRAS</t>
        </is>
      </c>
      <c r="E185" s="25" t="inlineStr">
        <is>
          <t>QUADRA 08/LOTE 07</t>
        </is>
      </c>
      <c r="F185" s="43" t="inlineStr">
        <is>
          <t>QUITADO</t>
        </is>
      </c>
      <c r="G185" s="22" t="n">
        <v>0</v>
      </c>
      <c r="H185" s="20" t="n">
        <v>60</v>
      </c>
      <c r="I185" s="20" t="n">
        <v>60</v>
      </c>
      <c r="J185" s="21" t="n">
        <v>13327.89</v>
      </c>
      <c r="K185" s="44" t="n">
        <v>0</v>
      </c>
      <c r="L185" s="22" t="n">
        <v>0</v>
      </c>
      <c r="M185" s="22" t="n">
        <v>0</v>
      </c>
      <c r="N185" s="22" t="n">
        <v>0</v>
      </c>
      <c r="O185" s="22" t="n">
        <v>0</v>
      </c>
      <c r="P185" s="22" t="n">
        <v>0</v>
      </c>
      <c r="Q185" s="21" t="n">
        <v>0</v>
      </c>
      <c r="R185" s="20" t="n">
        <v>0</v>
      </c>
      <c r="S185" s="21" t="n">
        <v>0</v>
      </c>
      <c r="T185" s="22" t="n">
        <v>13327.89</v>
      </c>
      <c r="U185" s="23" t="n">
        <v>1</v>
      </c>
      <c r="V185" s="23" t="n">
        <v>0</v>
      </c>
      <c r="W185" s="23" t="n">
        <v>0</v>
      </c>
      <c r="X185" s="40" t="n"/>
      <c r="Y185" s="18" t="n"/>
      <c r="Z185" s="18" t="inlineStr">
        <is>
          <t>NÃO</t>
        </is>
      </c>
    </row>
    <row r="186">
      <c r="A186" s="18" t="inlineStr">
        <is>
          <t>16/CIDAN</t>
        </is>
      </c>
      <c r="B186" s="18" t="inlineStr">
        <is>
          <t>SPE - CIDADE NOVA LTDA</t>
        </is>
      </c>
      <c r="C186" s="18" t="inlineStr">
        <is>
          <t>358</t>
        </is>
      </c>
      <c r="D186" s="18" t="inlineStr">
        <is>
          <t>MARIA MIRIAN FERREIRA GOMES</t>
        </is>
      </c>
      <c r="E186" s="25" t="inlineStr">
        <is>
          <t>QUADRA 07/LOTE 10</t>
        </is>
      </c>
      <c r="F186" s="43" t="inlineStr">
        <is>
          <t>QUITADO</t>
        </is>
      </c>
      <c r="G186" s="22" t="n">
        <v>0</v>
      </c>
      <c r="H186" s="20" t="n">
        <v>60</v>
      </c>
      <c r="I186" s="20" t="n">
        <v>60</v>
      </c>
      <c r="J186" s="21" t="n">
        <v>12747.82</v>
      </c>
      <c r="K186" s="44" t="n">
        <v>0</v>
      </c>
      <c r="L186" s="22" t="n">
        <v>0</v>
      </c>
      <c r="M186" s="22" t="n">
        <v>0</v>
      </c>
      <c r="N186" s="22" t="n">
        <v>0</v>
      </c>
      <c r="O186" s="22" t="n">
        <v>0</v>
      </c>
      <c r="P186" s="22" t="n">
        <v>0</v>
      </c>
      <c r="Q186" s="21" t="n">
        <v>0</v>
      </c>
      <c r="R186" s="20" t="n">
        <v>0</v>
      </c>
      <c r="S186" s="21" t="n">
        <v>0</v>
      </c>
      <c r="T186" s="22" t="n">
        <v>12747.82</v>
      </c>
      <c r="U186" s="23" t="n">
        <v>1</v>
      </c>
      <c r="V186" s="23" t="n">
        <v>0</v>
      </c>
      <c r="W186" s="23" t="n">
        <v>0</v>
      </c>
      <c r="X186" s="40" t="n"/>
      <c r="Y186" s="18" t="n"/>
      <c r="Z186" s="18" t="inlineStr">
        <is>
          <t>NÃO</t>
        </is>
      </c>
    </row>
    <row r="187">
      <c r="A187" s="18" t="inlineStr">
        <is>
          <t>16/CIDAN</t>
        </is>
      </c>
      <c r="B187" s="18" t="inlineStr">
        <is>
          <t>SPE - CIDADE NOVA LTDA</t>
        </is>
      </c>
      <c r="C187" s="18" t="inlineStr">
        <is>
          <t>36</t>
        </is>
      </c>
      <c r="D187" s="18" t="inlineStr">
        <is>
          <t>OSMAR PALOCO</t>
        </is>
      </c>
      <c r="E187" s="25" t="inlineStr">
        <is>
          <t>QUADRA 02/LOTE 22</t>
        </is>
      </c>
      <c r="F187" s="43" t="inlineStr">
        <is>
          <t>QUITADO</t>
        </is>
      </c>
      <c r="G187" s="22" t="n">
        <v>0</v>
      </c>
      <c r="H187" s="20" t="n">
        <v>178</v>
      </c>
      <c r="I187" s="20" t="n">
        <v>27</v>
      </c>
      <c r="J187" s="21" t="n">
        <v>4962.42</v>
      </c>
      <c r="K187" s="44" t="n">
        <v>0</v>
      </c>
      <c r="L187" s="22" t="n">
        <v>0</v>
      </c>
      <c r="M187" s="22" t="n">
        <v>0</v>
      </c>
      <c r="N187" s="22" t="n">
        <v>0</v>
      </c>
      <c r="O187" s="22" t="n">
        <v>0</v>
      </c>
      <c r="P187" s="22" t="n">
        <v>0</v>
      </c>
      <c r="Q187" s="21" t="n">
        <v>0</v>
      </c>
      <c r="R187" s="20" t="n">
        <v>0</v>
      </c>
      <c r="S187" s="21" t="n">
        <v>0</v>
      </c>
      <c r="T187" s="22" t="n">
        <v>4962.42</v>
      </c>
      <c r="U187" s="23" t="n">
        <v>1</v>
      </c>
      <c r="V187" s="23" t="n">
        <v>0</v>
      </c>
      <c r="W187" s="23" t="n">
        <v>0</v>
      </c>
      <c r="X187" s="40" t="n"/>
      <c r="Y187" s="18" t="n"/>
      <c r="Z187" s="18" t="inlineStr">
        <is>
          <t>NÃO</t>
        </is>
      </c>
    </row>
    <row r="188">
      <c r="A188" s="18" t="inlineStr">
        <is>
          <t>16/CIDAN</t>
        </is>
      </c>
      <c r="B188" s="18" t="inlineStr">
        <is>
          <t>SPE - CIDADE NOVA LTDA</t>
        </is>
      </c>
      <c r="C188" s="18" t="inlineStr">
        <is>
          <t>360</t>
        </is>
      </c>
      <c r="D188" s="18" t="inlineStr">
        <is>
          <t>MARCOS CONCEIÇÃO DOS SANTOS</t>
        </is>
      </c>
      <c r="E188" s="25" t="inlineStr">
        <is>
          <t>QUADRA 07/LOTE 14</t>
        </is>
      </c>
      <c r="F188" s="43" t="inlineStr">
        <is>
          <t>QUITADO</t>
        </is>
      </c>
      <c r="G188" s="22" t="n">
        <v>0</v>
      </c>
      <c r="H188" s="20" t="n">
        <v>48</v>
      </c>
      <c r="I188" s="20" t="n">
        <v>48</v>
      </c>
      <c r="J188" s="21" t="n">
        <v>12042.1</v>
      </c>
      <c r="K188" s="44" t="n">
        <v>0</v>
      </c>
      <c r="L188" s="22" t="n">
        <v>0</v>
      </c>
      <c r="M188" s="22" t="n">
        <v>0</v>
      </c>
      <c r="N188" s="22" t="n">
        <v>0</v>
      </c>
      <c r="O188" s="22" t="n">
        <v>0</v>
      </c>
      <c r="P188" s="22" t="n">
        <v>0</v>
      </c>
      <c r="Q188" s="21" t="n">
        <v>0</v>
      </c>
      <c r="R188" s="20" t="n">
        <v>0</v>
      </c>
      <c r="S188" s="21" t="n">
        <v>0</v>
      </c>
      <c r="T188" s="22" t="n">
        <v>12042.1</v>
      </c>
      <c r="U188" s="23" t="n">
        <v>1</v>
      </c>
      <c r="V188" s="23" t="n">
        <v>0</v>
      </c>
      <c r="W188" s="23" t="n">
        <v>0</v>
      </c>
      <c r="X188" s="40" t="n"/>
      <c r="Y188" s="18" t="n"/>
      <c r="Z188" s="18" t="inlineStr">
        <is>
          <t>NÃO</t>
        </is>
      </c>
    </row>
    <row r="189">
      <c r="A189" s="18" t="inlineStr">
        <is>
          <t>16/CIDAN</t>
        </is>
      </c>
      <c r="B189" s="18" t="inlineStr">
        <is>
          <t>SPE - CIDADE NOVA LTDA</t>
        </is>
      </c>
      <c r="C189" s="18" t="inlineStr">
        <is>
          <t>363</t>
        </is>
      </c>
      <c r="D189" s="18" t="inlineStr">
        <is>
          <t>LAZARO NAZARIO PEREIRA</t>
        </is>
      </c>
      <c r="E189" s="25" t="inlineStr">
        <is>
          <t>QUADRA 07/LOTE 13</t>
        </is>
      </c>
      <c r="F189" s="43" t="inlineStr">
        <is>
          <t>QUITADO</t>
        </is>
      </c>
      <c r="G189" s="22" t="n">
        <v>0</v>
      </c>
      <c r="H189" s="20" t="n">
        <v>60</v>
      </c>
      <c r="I189" s="20" t="n">
        <v>60</v>
      </c>
      <c r="J189" s="21" t="n">
        <v>12715.01</v>
      </c>
      <c r="K189" s="44" t="n">
        <v>0</v>
      </c>
      <c r="L189" s="22" t="n">
        <v>0</v>
      </c>
      <c r="M189" s="22" t="n">
        <v>0</v>
      </c>
      <c r="N189" s="22" t="n">
        <v>0</v>
      </c>
      <c r="O189" s="22" t="n">
        <v>0</v>
      </c>
      <c r="P189" s="22" t="n">
        <v>0</v>
      </c>
      <c r="Q189" s="21" t="n">
        <v>0</v>
      </c>
      <c r="R189" s="20" t="n">
        <v>0</v>
      </c>
      <c r="S189" s="21" t="n">
        <v>0</v>
      </c>
      <c r="T189" s="22" t="n">
        <v>12715.01</v>
      </c>
      <c r="U189" s="23" t="n">
        <v>1</v>
      </c>
      <c r="V189" s="23" t="n">
        <v>0</v>
      </c>
      <c r="W189" s="23" t="n">
        <v>0</v>
      </c>
      <c r="X189" s="40" t="n"/>
      <c r="Y189" s="18" t="n"/>
      <c r="Z189" s="18" t="inlineStr">
        <is>
          <t>NÃO</t>
        </is>
      </c>
    </row>
    <row r="190">
      <c r="A190" s="18" t="inlineStr">
        <is>
          <t>16/CIDAN</t>
        </is>
      </c>
      <c r="B190" s="18" t="inlineStr">
        <is>
          <t>SPE - CIDADE NOVA LTDA</t>
        </is>
      </c>
      <c r="C190" s="18" t="inlineStr">
        <is>
          <t>364</t>
        </is>
      </c>
      <c r="D190" s="18" t="inlineStr">
        <is>
          <t>CARMEN NAZARIO PEREIRA</t>
        </is>
      </c>
      <c r="E190" s="25" t="inlineStr">
        <is>
          <t>QUADRA 07/LOTE 12</t>
        </is>
      </c>
      <c r="F190" s="43" t="inlineStr">
        <is>
          <t>QUITADO</t>
        </is>
      </c>
      <c r="G190" s="22" t="n">
        <v>0</v>
      </c>
      <c r="H190" s="20" t="n">
        <v>60</v>
      </c>
      <c r="I190" s="20" t="n">
        <v>60</v>
      </c>
      <c r="J190" s="21" t="n">
        <v>12583.94</v>
      </c>
      <c r="K190" s="44" t="n">
        <v>0</v>
      </c>
      <c r="L190" s="22" t="n">
        <v>0</v>
      </c>
      <c r="M190" s="22" t="n">
        <v>0</v>
      </c>
      <c r="N190" s="22" t="n">
        <v>0</v>
      </c>
      <c r="O190" s="22" t="n">
        <v>0</v>
      </c>
      <c r="P190" s="22" t="n">
        <v>0</v>
      </c>
      <c r="Q190" s="21" t="n">
        <v>0</v>
      </c>
      <c r="R190" s="20" t="n">
        <v>0</v>
      </c>
      <c r="S190" s="21" t="n">
        <v>0</v>
      </c>
      <c r="T190" s="22" t="n">
        <v>12583.94</v>
      </c>
      <c r="U190" s="23" t="n">
        <v>1</v>
      </c>
      <c r="V190" s="23" t="n">
        <v>0</v>
      </c>
      <c r="W190" s="23" t="n">
        <v>0</v>
      </c>
      <c r="X190" s="40" t="n"/>
      <c r="Y190" s="18" t="n"/>
      <c r="Z190" s="18" t="inlineStr">
        <is>
          <t>NÃO</t>
        </is>
      </c>
    </row>
    <row r="191">
      <c r="A191" s="18" t="inlineStr">
        <is>
          <t>16/CIDAN</t>
        </is>
      </c>
      <c r="B191" s="18" t="inlineStr">
        <is>
          <t>SPE - CIDADE NOVA LTDA</t>
        </is>
      </c>
      <c r="C191" s="18" t="inlineStr">
        <is>
          <t>365</t>
        </is>
      </c>
      <c r="D191" s="18" t="inlineStr">
        <is>
          <t>OZAIR VERAS DO LAGO NETO</t>
        </is>
      </c>
      <c r="E191" s="25" t="inlineStr">
        <is>
          <t>QUADRA 07/LOTE 20</t>
        </is>
      </c>
      <c r="F191" s="43" t="inlineStr">
        <is>
          <t>QUITADO</t>
        </is>
      </c>
      <c r="G191" s="22" t="n">
        <v>0</v>
      </c>
      <c r="H191" s="20" t="n">
        <v>60</v>
      </c>
      <c r="I191" s="20" t="n">
        <v>60</v>
      </c>
      <c r="J191" s="21" t="n">
        <v>13333.89</v>
      </c>
      <c r="K191" s="44" t="n">
        <v>0</v>
      </c>
      <c r="L191" s="22" t="n">
        <v>0</v>
      </c>
      <c r="M191" s="22" t="n">
        <v>0</v>
      </c>
      <c r="N191" s="22" t="n">
        <v>0</v>
      </c>
      <c r="O191" s="22" t="n">
        <v>0</v>
      </c>
      <c r="P191" s="22" t="n">
        <v>0</v>
      </c>
      <c r="Q191" s="21" t="n">
        <v>0</v>
      </c>
      <c r="R191" s="20" t="n">
        <v>0</v>
      </c>
      <c r="S191" s="21" t="n">
        <v>0</v>
      </c>
      <c r="T191" s="22" t="n">
        <v>13333.89</v>
      </c>
      <c r="U191" s="23" t="n">
        <v>1</v>
      </c>
      <c r="V191" s="23" t="n">
        <v>0</v>
      </c>
      <c r="W191" s="23" t="n">
        <v>0</v>
      </c>
      <c r="X191" s="40" t="n"/>
      <c r="Y191" s="18" t="n"/>
      <c r="Z191" s="18" t="inlineStr">
        <is>
          <t>NÃO</t>
        </is>
      </c>
    </row>
    <row r="192">
      <c r="A192" s="18" t="inlineStr">
        <is>
          <t>16/CIDAN</t>
        </is>
      </c>
      <c r="B192" s="18" t="inlineStr">
        <is>
          <t>SPE - CIDADE NOVA LTDA</t>
        </is>
      </c>
      <c r="C192" s="18" t="inlineStr">
        <is>
          <t>366</t>
        </is>
      </c>
      <c r="D192" s="18" t="inlineStr">
        <is>
          <t>MARIA APARECIDA CAMPOS DOS SANTOS</t>
        </is>
      </c>
      <c r="E192" s="25" t="inlineStr">
        <is>
          <t>QUADRA 07/LOTE 18</t>
        </is>
      </c>
      <c r="F192" s="43" t="inlineStr">
        <is>
          <t>QUITADO</t>
        </is>
      </c>
      <c r="G192" s="22" t="n">
        <v>0</v>
      </c>
      <c r="H192" s="20" t="n">
        <v>60</v>
      </c>
      <c r="I192" s="20" t="n">
        <v>13</v>
      </c>
      <c r="J192" s="21" t="n">
        <v>2301.62</v>
      </c>
      <c r="K192" s="44" t="n">
        <v>0</v>
      </c>
      <c r="L192" s="22" t="n">
        <v>0</v>
      </c>
      <c r="M192" s="22" t="n">
        <v>0</v>
      </c>
      <c r="N192" s="22" t="n">
        <v>0</v>
      </c>
      <c r="O192" s="22" t="n">
        <v>0</v>
      </c>
      <c r="P192" s="22" t="n">
        <v>0</v>
      </c>
      <c r="Q192" s="21" t="n">
        <v>0</v>
      </c>
      <c r="R192" s="20" t="n">
        <v>0</v>
      </c>
      <c r="S192" s="21" t="n">
        <v>0</v>
      </c>
      <c r="T192" s="22" t="n">
        <v>2301.62</v>
      </c>
      <c r="U192" s="23" t="n">
        <v>1</v>
      </c>
      <c r="V192" s="23" t="n">
        <v>0</v>
      </c>
      <c r="W192" s="23" t="n">
        <v>0</v>
      </c>
      <c r="X192" s="40" t="n"/>
      <c r="Y192" s="18" t="n"/>
      <c r="Z192" s="18" t="inlineStr">
        <is>
          <t>NÃO</t>
        </is>
      </c>
    </row>
    <row r="193">
      <c r="A193" s="18" t="inlineStr">
        <is>
          <t>16/CIDAN</t>
        </is>
      </c>
      <c r="B193" s="18" t="inlineStr">
        <is>
          <t>SPE - CIDADE NOVA LTDA</t>
        </is>
      </c>
      <c r="C193" s="18" t="inlineStr">
        <is>
          <t>371</t>
        </is>
      </c>
      <c r="D193" s="18" t="inlineStr">
        <is>
          <t>MARIA DE FATIMA ARAUJO SILVA</t>
        </is>
      </c>
      <c r="E193" s="25" t="inlineStr">
        <is>
          <t>QUADRA 03/LOTE 24</t>
        </is>
      </c>
      <c r="F193" s="43" t="inlineStr">
        <is>
          <t>QUITADO</t>
        </is>
      </c>
      <c r="G193" s="22" t="n">
        <v>0</v>
      </c>
      <c r="H193" s="20" t="n">
        <v>36</v>
      </c>
      <c r="I193" s="20" t="n">
        <v>15</v>
      </c>
      <c r="J193" s="21" t="n">
        <v>10264.25</v>
      </c>
      <c r="K193" s="44" t="n">
        <v>0</v>
      </c>
      <c r="L193" s="22" t="n">
        <v>0</v>
      </c>
      <c r="M193" s="22" t="n">
        <v>0</v>
      </c>
      <c r="N193" s="22" t="n">
        <v>0</v>
      </c>
      <c r="O193" s="22" t="n">
        <v>0</v>
      </c>
      <c r="P193" s="22" t="n">
        <v>0</v>
      </c>
      <c r="Q193" s="21" t="n">
        <v>0</v>
      </c>
      <c r="R193" s="20" t="n">
        <v>0</v>
      </c>
      <c r="S193" s="21" t="n">
        <v>0</v>
      </c>
      <c r="T193" s="22" t="n">
        <v>10264.25</v>
      </c>
      <c r="U193" s="23" t="n">
        <v>1</v>
      </c>
      <c r="V193" s="23" t="n">
        <v>0</v>
      </c>
      <c r="W193" s="23" t="n">
        <v>0</v>
      </c>
      <c r="X193" s="40" t="n"/>
      <c r="Y193" s="18" t="n"/>
      <c r="Z193" s="18" t="inlineStr">
        <is>
          <t>NÃO</t>
        </is>
      </c>
    </row>
    <row r="194">
      <c r="A194" s="18" t="inlineStr">
        <is>
          <t>16/CIDAN</t>
        </is>
      </c>
      <c r="B194" s="18" t="inlineStr">
        <is>
          <t>SPE - CIDADE NOVA LTDA</t>
        </is>
      </c>
      <c r="C194" s="18" t="inlineStr">
        <is>
          <t>372</t>
        </is>
      </c>
      <c r="D194" s="18" t="inlineStr">
        <is>
          <t>A P DA SILVA SERVICOS - ME</t>
        </is>
      </c>
      <c r="E194" s="25" t="inlineStr">
        <is>
          <t>QUADRA 39/LOTE 03</t>
        </is>
      </c>
      <c r="F194" s="43" t="inlineStr">
        <is>
          <t>QUITADO</t>
        </is>
      </c>
      <c r="G194" s="22" t="n">
        <v>18720.78</v>
      </c>
      <c r="H194" s="20" t="n">
        <v>1</v>
      </c>
      <c r="I194" s="20" t="n">
        <v>1</v>
      </c>
      <c r="J194" s="21" t="n">
        <v>18720.78</v>
      </c>
      <c r="K194" s="44" t="n">
        <v>0</v>
      </c>
      <c r="L194" s="22" t="n">
        <v>0</v>
      </c>
      <c r="M194" s="22" t="n">
        <v>0</v>
      </c>
      <c r="N194" s="22" t="n">
        <v>0</v>
      </c>
      <c r="O194" s="22" t="n">
        <v>0</v>
      </c>
      <c r="P194" s="22" t="n">
        <v>0</v>
      </c>
      <c r="Q194" s="21" t="n">
        <v>0</v>
      </c>
      <c r="R194" s="20" t="n">
        <v>0</v>
      </c>
      <c r="S194" s="21" t="n">
        <v>0</v>
      </c>
      <c r="T194" s="22" t="n">
        <v>18720.78</v>
      </c>
      <c r="U194" s="23" t="n">
        <v>1</v>
      </c>
      <c r="V194" s="23" t="n">
        <v>0</v>
      </c>
      <c r="W194" s="23" t="n">
        <v>0</v>
      </c>
      <c r="X194" s="40" t="n"/>
      <c r="Y194" s="18" t="n"/>
      <c r="Z194" s="18" t="inlineStr">
        <is>
          <t>NÃO</t>
        </is>
      </c>
    </row>
    <row r="195">
      <c r="A195" s="18" t="inlineStr">
        <is>
          <t>16/CIDAN</t>
        </is>
      </c>
      <c r="B195" s="18" t="inlineStr">
        <is>
          <t>SPE - CIDADE NOVA LTDA</t>
        </is>
      </c>
      <c r="C195" s="18" t="inlineStr">
        <is>
          <t>375</t>
        </is>
      </c>
      <c r="D195" s="18" t="inlineStr">
        <is>
          <t>ELIOMAR PEREIRA DE ARRUDA</t>
        </is>
      </c>
      <c r="E195" s="25" t="inlineStr">
        <is>
          <t>QUADRA 70/LOTE 20|QUADRA 70/LOTE 21</t>
        </is>
      </c>
      <c r="F195" s="43" t="inlineStr">
        <is>
          <t>QUITADO</t>
        </is>
      </c>
      <c r="G195" s="22" t="n">
        <v>0</v>
      </c>
      <c r="H195" s="20" t="n">
        <v>30</v>
      </c>
      <c r="I195" s="20" t="n">
        <v>18</v>
      </c>
      <c r="J195" s="21" t="n">
        <v>37577.24</v>
      </c>
      <c r="K195" s="44" t="n">
        <v>0</v>
      </c>
      <c r="L195" s="22" t="n">
        <v>0</v>
      </c>
      <c r="M195" s="22" t="n">
        <v>0</v>
      </c>
      <c r="N195" s="22" t="n">
        <v>0</v>
      </c>
      <c r="O195" s="22" t="n">
        <v>0</v>
      </c>
      <c r="P195" s="22" t="n">
        <v>0</v>
      </c>
      <c r="Q195" s="21" t="n">
        <v>0</v>
      </c>
      <c r="R195" s="20" t="n">
        <v>0</v>
      </c>
      <c r="S195" s="21" t="n">
        <v>0</v>
      </c>
      <c r="T195" s="22" t="n">
        <v>37577.24</v>
      </c>
      <c r="U195" s="23" t="n">
        <v>1</v>
      </c>
      <c r="V195" s="23" t="n">
        <v>0</v>
      </c>
      <c r="W195" s="23" t="n">
        <v>0</v>
      </c>
      <c r="X195" s="40" t="n"/>
      <c r="Y195" s="18" t="n"/>
      <c r="Z195" s="18" t="inlineStr">
        <is>
          <t>NÃO</t>
        </is>
      </c>
    </row>
    <row r="196">
      <c r="A196" s="18" t="inlineStr">
        <is>
          <t>16/CIDAN</t>
        </is>
      </c>
      <c r="B196" s="18" t="inlineStr">
        <is>
          <t>SPE - CIDADE NOVA LTDA</t>
        </is>
      </c>
      <c r="C196" s="18" t="inlineStr">
        <is>
          <t>376</t>
        </is>
      </c>
      <c r="D196" s="18" t="inlineStr">
        <is>
          <t>ROSANGELA MARIA ALVES DA SILVA</t>
        </is>
      </c>
      <c r="E196" s="25" t="inlineStr">
        <is>
          <t>QUADRA 70/LOTE 19</t>
        </is>
      </c>
      <c r="F196" s="52" t="inlineStr">
        <is>
          <t>ADIMPLENTE</t>
        </is>
      </c>
      <c r="G196" s="22" t="n">
        <v>287.03</v>
      </c>
      <c r="H196" s="20" t="n">
        <v>108</v>
      </c>
      <c r="I196" s="20" t="n">
        <v>91</v>
      </c>
      <c r="J196" s="21" t="n">
        <v>39576.15</v>
      </c>
      <c r="K196" s="44" t="n">
        <v>0</v>
      </c>
      <c r="L196" s="22" t="n">
        <v>0</v>
      </c>
      <c r="M196" s="22" t="n">
        <v>0</v>
      </c>
      <c r="N196" s="22" t="n">
        <v>0</v>
      </c>
      <c r="O196" s="22" t="n">
        <v>0</v>
      </c>
      <c r="P196" s="22" t="n">
        <v>0</v>
      </c>
      <c r="Q196" s="21" t="n">
        <v>0</v>
      </c>
      <c r="R196" s="20" t="n">
        <v>17</v>
      </c>
      <c r="S196" s="21" t="n">
        <v>11370.01</v>
      </c>
      <c r="T196" s="22" t="n">
        <v>50946.16</v>
      </c>
      <c r="U196" s="23" t="n">
        <v>0.776823</v>
      </c>
      <c r="V196" s="23" t="n">
        <v>0</v>
      </c>
      <c r="W196" s="23" t="n">
        <v>0.223177</v>
      </c>
      <c r="X196" s="40" t="n">
        <v>20</v>
      </c>
      <c r="Y196" s="18" t="n"/>
      <c r="Z196" s="18" t="inlineStr">
        <is>
          <t>NÃO</t>
        </is>
      </c>
    </row>
    <row r="197">
      <c r="A197" s="18" t="inlineStr">
        <is>
          <t>16/CIDAN</t>
        </is>
      </c>
      <c r="B197" s="18" t="inlineStr">
        <is>
          <t>SPE - CIDADE NOVA LTDA</t>
        </is>
      </c>
      <c r="C197" s="18" t="inlineStr">
        <is>
          <t>377</t>
        </is>
      </c>
      <c r="D197" s="18" t="inlineStr">
        <is>
          <t>ROMARIZ DE SOUSA LEÃO</t>
        </is>
      </c>
      <c r="E197" s="25" t="inlineStr">
        <is>
          <t>QUADRA 92/LOTE 01</t>
        </is>
      </c>
      <c r="F197" s="43" t="inlineStr">
        <is>
          <t>QUITADO</t>
        </is>
      </c>
      <c r="G197" s="22" t="n">
        <v>0</v>
      </c>
      <c r="H197" s="20" t="n">
        <v>192</v>
      </c>
      <c r="I197" s="20" t="n">
        <v>42</v>
      </c>
      <c r="J197" s="21" t="n">
        <v>4961.24</v>
      </c>
      <c r="K197" s="44" t="n">
        <v>0</v>
      </c>
      <c r="L197" s="22" t="n">
        <v>0</v>
      </c>
      <c r="M197" s="22" t="n">
        <v>0</v>
      </c>
      <c r="N197" s="22" t="n">
        <v>0</v>
      </c>
      <c r="O197" s="22" t="n">
        <v>0</v>
      </c>
      <c r="P197" s="22" t="n">
        <v>0</v>
      </c>
      <c r="Q197" s="21" t="n">
        <v>0</v>
      </c>
      <c r="R197" s="20" t="n">
        <v>0</v>
      </c>
      <c r="S197" s="21" t="n">
        <v>0</v>
      </c>
      <c r="T197" s="22" t="n">
        <v>4961.24</v>
      </c>
      <c r="U197" s="23" t="n">
        <v>1</v>
      </c>
      <c r="V197" s="23" t="n">
        <v>0</v>
      </c>
      <c r="W197" s="23" t="n">
        <v>0</v>
      </c>
      <c r="X197" s="40" t="n"/>
      <c r="Y197" s="18" t="n"/>
      <c r="Z197" s="18" t="inlineStr">
        <is>
          <t>NÃO</t>
        </is>
      </c>
    </row>
    <row r="198">
      <c r="A198" s="18" t="inlineStr">
        <is>
          <t>16/CIDAN</t>
        </is>
      </c>
      <c r="B198" s="18" t="inlineStr">
        <is>
          <t>SPE - CIDADE NOVA LTDA</t>
        </is>
      </c>
      <c r="C198" s="18" t="inlineStr">
        <is>
          <t>379</t>
        </is>
      </c>
      <c r="D198" s="18" t="inlineStr">
        <is>
          <t>JOSE RODRIGUES DA SILVA</t>
        </is>
      </c>
      <c r="E198" s="25" t="inlineStr">
        <is>
          <t>QUADRA 92/LOTE 02|QUADRA 92/LOTE 34</t>
        </is>
      </c>
      <c r="F198" s="43" t="inlineStr">
        <is>
          <t>QUITADO</t>
        </is>
      </c>
      <c r="G198" s="22" t="n">
        <v>0</v>
      </c>
      <c r="H198" s="20" t="n">
        <v>192</v>
      </c>
      <c r="I198" s="20" t="n">
        <v>10</v>
      </c>
      <c r="J198" s="21" t="n">
        <v>2999.62</v>
      </c>
      <c r="K198" s="44" t="n">
        <v>0</v>
      </c>
      <c r="L198" s="22" t="n">
        <v>0</v>
      </c>
      <c r="M198" s="22" t="n">
        <v>0</v>
      </c>
      <c r="N198" s="22" t="n">
        <v>0</v>
      </c>
      <c r="O198" s="22" t="n">
        <v>0</v>
      </c>
      <c r="P198" s="22" t="n">
        <v>0</v>
      </c>
      <c r="Q198" s="21" t="n">
        <v>0</v>
      </c>
      <c r="R198" s="20" t="n">
        <v>0</v>
      </c>
      <c r="S198" s="21" t="n">
        <v>0</v>
      </c>
      <c r="T198" s="22" t="n">
        <v>2999.62</v>
      </c>
      <c r="U198" s="23" t="n">
        <v>1</v>
      </c>
      <c r="V198" s="23" t="n">
        <v>0</v>
      </c>
      <c r="W198" s="23" t="n">
        <v>0</v>
      </c>
      <c r="X198" s="40" t="n"/>
      <c r="Y198" s="18" t="n"/>
      <c r="Z198" s="18" t="inlineStr">
        <is>
          <t>NÃO</t>
        </is>
      </c>
    </row>
    <row r="199">
      <c r="A199" s="18" t="inlineStr">
        <is>
          <t>16/CIDAN</t>
        </is>
      </c>
      <c r="B199" s="18" t="inlineStr">
        <is>
          <t>SPE - CIDADE NOVA LTDA</t>
        </is>
      </c>
      <c r="C199" s="18" t="inlineStr">
        <is>
          <t>38</t>
        </is>
      </c>
      <c r="D199" s="18" t="inlineStr">
        <is>
          <t>OSMAR PALOCO</t>
        </is>
      </c>
      <c r="E199" s="25" t="inlineStr">
        <is>
          <t>QUADRA 02/LOTE 14</t>
        </is>
      </c>
      <c r="F199" s="43" t="inlineStr">
        <is>
          <t>QUITADO</t>
        </is>
      </c>
      <c r="G199" s="22" t="n">
        <v>0</v>
      </c>
      <c r="H199" s="20" t="n">
        <v>178</v>
      </c>
      <c r="I199" s="20" t="n">
        <v>27</v>
      </c>
      <c r="J199" s="21" t="n">
        <v>8517.91</v>
      </c>
      <c r="K199" s="44" t="n">
        <v>0</v>
      </c>
      <c r="L199" s="22" t="n">
        <v>0</v>
      </c>
      <c r="M199" s="22" t="n">
        <v>0</v>
      </c>
      <c r="N199" s="22" t="n">
        <v>0</v>
      </c>
      <c r="O199" s="22" t="n">
        <v>0</v>
      </c>
      <c r="P199" s="22" t="n">
        <v>0</v>
      </c>
      <c r="Q199" s="21" t="n">
        <v>0</v>
      </c>
      <c r="R199" s="20" t="n">
        <v>0</v>
      </c>
      <c r="S199" s="21" t="n">
        <v>0</v>
      </c>
      <c r="T199" s="22" t="n">
        <v>8517.91</v>
      </c>
      <c r="U199" s="23" t="n">
        <v>1</v>
      </c>
      <c r="V199" s="23" t="n">
        <v>0</v>
      </c>
      <c r="W199" s="23" t="n">
        <v>0</v>
      </c>
      <c r="X199" s="40" t="n"/>
      <c r="Y199" s="18" t="n"/>
      <c r="Z199" s="18" t="inlineStr">
        <is>
          <t>NÃO</t>
        </is>
      </c>
    </row>
    <row r="200">
      <c r="A200" s="18" t="inlineStr">
        <is>
          <t>16/CIDAN</t>
        </is>
      </c>
      <c r="B200" s="18" t="inlineStr">
        <is>
          <t>SPE - CIDADE NOVA LTDA</t>
        </is>
      </c>
      <c r="C200" s="18" t="inlineStr">
        <is>
          <t>380</t>
        </is>
      </c>
      <c r="D200" s="18" t="inlineStr">
        <is>
          <t>FRANCINEIDE DE JESUS SILVA DOS SANTOS</t>
        </is>
      </c>
      <c r="E200" s="25" t="inlineStr">
        <is>
          <t>QUADRA 80/LOTE 05</t>
        </is>
      </c>
      <c r="F200" s="52" t="inlineStr">
        <is>
          <t>ADIMPLENTE</t>
        </is>
      </c>
      <c r="G200" s="22" t="n">
        <v>177.47</v>
      </c>
      <c r="H200" s="20" t="n">
        <v>192</v>
      </c>
      <c r="I200" s="20" t="n">
        <v>81</v>
      </c>
      <c r="J200" s="21" t="n">
        <v>21138.49</v>
      </c>
      <c r="K200" s="44" t="n">
        <v>0</v>
      </c>
      <c r="L200" s="22" t="n">
        <v>0</v>
      </c>
      <c r="M200" s="22" t="n">
        <v>0</v>
      </c>
      <c r="N200" s="22" t="n">
        <v>0</v>
      </c>
      <c r="O200" s="22" t="n">
        <v>0</v>
      </c>
      <c r="P200" s="22" t="n">
        <v>0</v>
      </c>
      <c r="Q200" s="21" t="n">
        <v>0</v>
      </c>
      <c r="R200" s="20" t="n">
        <v>111</v>
      </c>
      <c r="S200" s="21" t="n">
        <v>46323.63</v>
      </c>
      <c r="T200" s="22" t="n">
        <v>67462.12</v>
      </c>
      <c r="U200" s="23" t="n">
        <v>0.313339</v>
      </c>
      <c r="V200" s="23" t="n">
        <v>0</v>
      </c>
      <c r="W200" s="23" t="n">
        <v>0.686661</v>
      </c>
      <c r="X200" s="40" t="n">
        <v>20</v>
      </c>
      <c r="Y200" s="18" t="n"/>
      <c r="Z200" s="18" t="inlineStr">
        <is>
          <t>NÃO</t>
        </is>
      </c>
    </row>
    <row r="201">
      <c r="A201" s="18" t="inlineStr">
        <is>
          <t>16/CIDAN</t>
        </is>
      </c>
      <c r="B201" s="18" t="inlineStr">
        <is>
          <t>SPE - CIDADE NOVA LTDA</t>
        </is>
      </c>
      <c r="C201" s="18" t="inlineStr">
        <is>
          <t>382</t>
        </is>
      </c>
      <c r="D201" s="18" t="inlineStr">
        <is>
          <t>ERIVAN PEREIRA DE AMORIM</t>
        </is>
      </c>
      <c r="E201" s="25" t="inlineStr">
        <is>
          <t>QUADRA 67/LOTE 21</t>
        </is>
      </c>
      <c r="F201" s="43" t="inlineStr">
        <is>
          <t>QUITADO</t>
        </is>
      </c>
      <c r="G201" s="22" t="n">
        <v>0</v>
      </c>
      <c r="H201" s="20" t="n">
        <v>54</v>
      </c>
      <c r="I201" s="20" t="n">
        <v>40</v>
      </c>
      <c r="J201" s="21" t="n">
        <v>45384.32</v>
      </c>
      <c r="K201" s="44" t="n">
        <v>0</v>
      </c>
      <c r="L201" s="22" t="n">
        <v>0</v>
      </c>
      <c r="M201" s="22" t="n">
        <v>0</v>
      </c>
      <c r="N201" s="22" t="n">
        <v>0</v>
      </c>
      <c r="O201" s="22" t="n">
        <v>0</v>
      </c>
      <c r="P201" s="22" t="n">
        <v>0</v>
      </c>
      <c r="Q201" s="21" t="n">
        <v>0</v>
      </c>
      <c r="R201" s="20" t="n">
        <v>0</v>
      </c>
      <c r="S201" s="21" t="n">
        <v>0</v>
      </c>
      <c r="T201" s="22" t="n">
        <v>45384.32</v>
      </c>
      <c r="U201" s="23" t="n">
        <v>1</v>
      </c>
      <c r="V201" s="23" t="n">
        <v>0</v>
      </c>
      <c r="W201" s="23" t="n">
        <v>0</v>
      </c>
      <c r="X201" s="40" t="n"/>
      <c r="Y201" s="18" t="n"/>
      <c r="Z201" s="18" t="inlineStr">
        <is>
          <t>NÃO</t>
        </is>
      </c>
    </row>
    <row r="202">
      <c r="A202" s="18" t="inlineStr">
        <is>
          <t>16/CIDAN</t>
        </is>
      </c>
      <c r="B202" s="18" t="inlineStr">
        <is>
          <t>SPE - CIDADE NOVA LTDA</t>
        </is>
      </c>
      <c r="C202" s="18" t="inlineStr">
        <is>
          <t>383</t>
        </is>
      </c>
      <c r="D202" s="18" t="inlineStr">
        <is>
          <t>ERIVAN PEREIRA DE AMORIM</t>
        </is>
      </c>
      <c r="E202" s="25" t="inlineStr">
        <is>
          <t>QUADRA 67/LOTE 20</t>
        </is>
      </c>
      <c r="F202" s="43" t="inlineStr">
        <is>
          <t>QUITADO</t>
        </is>
      </c>
      <c r="G202" s="22" t="n">
        <v>0</v>
      </c>
      <c r="H202" s="20" t="n">
        <v>54</v>
      </c>
      <c r="I202" s="20" t="n">
        <v>45</v>
      </c>
      <c r="J202" s="21" t="n">
        <v>39210.6</v>
      </c>
      <c r="K202" s="44" t="n">
        <v>0</v>
      </c>
      <c r="L202" s="22" t="n">
        <v>0</v>
      </c>
      <c r="M202" s="22" t="n">
        <v>0</v>
      </c>
      <c r="N202" s="22" t="n">
        <v>0</v>
      </c>
      <c r="O202" s="22" t="n">
        <v>0</v>
      </c>
      <c r="P202" s="22" t="n">
        <v>0</v>
      </c>
      <c r="Q202" s="21" t="n">
        <v>0</v>
      </c>
      <c r="R202" s="20" t="n">
        <v>0</v>
      </c>
      <c r="S202" s="21" t="n">
        <v>0</v>
      </c>
      <c r="T202" s="22" t="n">
        <v>39210.6</v>
      </c>
      <c r="U202" s="23" t="n">
        <v>1</v>
      </c>
      <c r="V202" s="23" t="n">
        <v>0</v>
      </c>
      <c r="W202" s="23" t="n">
        <v>0</v>
      </c>
      <c r="X202" s="40" t="n"/>
      <c r="Y202" s="18" t="n"/>
      <c r="Z202" s="18" t="inlineStr">
        <is>
          <t>NÃO</t>
        </is>
      </c>
    </row>
    <row r="203">
      <c r="A203" s="18" t="inlineStr">
        <is>
          <t>16/CIDAN</t>
        </is>
      </c>
      <c r="B203" s="18" t="inlineStr">
        <is>
          <t>SPE - CIDADE NOVA LTDA</t>
        </is>
      </c>
      <c r="C203" s="18" t="inlineStr">
        <is>
          <t>384</t>
        </is>
      </c>
      <c r="D203" s="18" t="inlineStr">
        <is>
          <t>ERIVAN PEREIRA DE AMORIM</t>
        </is>
      </c>
      <c r="E203" s="25" t="inlineStr">
        <is>
          <t>QUADRA 67/LOTE 19</t>
        </is>
      </c>
      <c r="F203" s="43" t="inlineStr">
        <is>
          <t>QUITADO</t>
        </is>
      </c>
      <c r="G203" s="22" t="n">
        <v>0</v>
      </c>
      <c r="H203" s="20" t="n">
        <v>54</v>
      </c>
      <c r="I203" s="20" t="n">
        <v>45</v>
      </c>
      <c r="J203" s="21" t="n">
        <v>37698.9</v>
      </c>
      <c r="K203" s="44" t="n">
        <v>0</v>
      </c>
      <c r="L203" s="22" t="n">
        <v>0</v>
      </c>
      <c r="M203" s="22" t="n">
        <v>0</v>
      </c>
      <c r="N203" s="22" t="n">
        <v>0</v>
      </c>
      <c r="O203" s="22" t="n">
        <v>0</v>
      </c>
      <c r="P203" s="22" t="n">
        <v>0</v>
      </c>
      <c r="Q203" s="21" t="n">
        <v>0</v>
      </c>
      <c r="R203" s="20" t="n">
        <v>0</v>
      </c>
      <c r="S203" s="21" t="n">
        <v>0</v>
      </c>
      <c r="T203" s="22" t="n">
        <v>37698.9</v>
      </c>
      <c r="U203" s="23" t="n">
        <v>1</v>
      </c>
      <c r="V203" s="23" t="n">
        <v>0</v>
      </c>
      <c r="W203" s="23" t="n">
        <v>0</v>
      </c>
      <c r="X203" s="40" t="n"/>
      <c r="Y203" s="18" t="n"/>
      <c r="Z203" s="18" t="inlineStr">
        <is>
          <t>NÃO</t>
        </is>
      </c>
    </row>
    <row r="204">
      <c r="A204" s="18" t="inlineStr">
        <is>
          <t>16/CIDAN</t>
        </is>
      </c>
      <c r="B204" s="18" t="inlineStr">
        <is>
          <t>SPE - CIDADE NOVA LTDA</t>
        </is>
      </c>
      <c r="C204" s="18" t="inlineStr">
        <is>
          <t>385</t>
        </is>
      </c>
      <c r="D204" s="18" t="inlineStr">
        <is>
          <t>ELIOMAR PEREIRA DE ARRUDA</t>
        </is>
      </c>
      <c r="E204" s="25" t="inlineStr">
        <is>
          <t>QUADRA 70/LOTE 21</t>
        </is>
      </c>
      <c r="F204" s="43" t="inlineStr">
        <is>
          <t>QUITADO</t>
        </is>
      </c>
      <c r="G204" s="22" t="n">
        <v>34025.85</v>
      </c>
      <c r="H204" s="20" t="n">
        <v>1</v>
      </c>
      <c r="I204" s="20" t="n">
        <v>1</v>
      </c>
      <c r="J204" s="21" t="n">
        <v>34025.85</v>
      </c>
      <c r="K204" s="44" t="n">
        <v>0</v>
      </c>
      <c r="L204" s="22" t="n">
        <v>0</v>
      </c>
      <c r="M204" s="22" t="n">
        <v>0</v>
      </c>
      <c r="N204" s="22" t="n">
        <v>0</v>
      </c>
      <c r="O204" s="22" t="n">
        <v>0</v>
      </c>
      <c r="P204" s="22" t="n">
        <v>0</v>
      </c>
      <c r="Q204" s="21" t="n">
        <v>0</v>
      </c>
      <c r="R204" s="20" t="n">
        <v>0</v>
      </c>
      <c r="S204" s="21" t="n">
        <v>0</v>
      </c>
      <c r="T204" s="22" t="n">
        <v>34025.85</v>
      </c>
      <c r="U204" s="23" t="n">
        <v>1</v>
      </c>
      <c r="V204" s="23" t="n">
        <v>0</v>
      </c>
      <c r="W204" s="23" t="n">
        <v>0</v>
      </c>
      <c r="X204" s="40" t="n"/>
      <c r="Y204" s="18" t="n"/>
      <c r="Z204" s="18" t="inlineStr">
        <is>
          <t>NÃO</t>
        </is>
      </c>
    </row>
    <row r="205">
      <c r="A205" s="18" t="inlineStr">
        <is>
          <t>16/CIDAN</t>
        </is>
      </c>
      <c r="B205" s="18" t="inlineStr">
        <is>
          <t>SPE - CIDADE NOVA LTDA</t>
        </is>
      </c>
      <c r="C205" s="18" t="inlineStr">
        <is>
          <t>386</t>
        </is>
      </c>
      <c r="D205" s="18" t="inlineStr">
        <is>
          <t>ERIVAN PEREIRA DE AMORIM</t>
        </is>
      </c>
      <c r="E205" s="25" t="inlineStr">
        <is>
          <t>QUADRA 67/LOTE 18</t>
        </is>
      </c>
      <c r="F205" s="43" t="inlineStr">
        <is>
          <t>QUITADO</t>
        </is>
      </c>
      <c r="G205" s="22" t="n">
        <v>0</v>
      </c>
      <c r="H205" s="20" t="n">
        <v>120</v>
      </c>
      <c r="I205" s="20" t="n">
        <v>43</v>
      </c>
      <c r="J205" s="21" t="n">
        <v>15815.99</v>
      </c>
      <c r="K205" s="44" t="n">
        <v>0</v>
      </c>
      <c r="L205" s="22" t="n">
        <v>0</v>
      </c>
      <c r="M205" s="22" t="n">
        <v>0</v>
      </c>
      <c r="N205" s="22" t="n">
        <v>0</v>
      </c>
      <c r="O205" s="22" t="n">
        <v>0</v>
      </c>
      <c r="P205" s="22" t="n">
        <v>0</v>
      </c>
      <c r="Q205" s="21" t="n">
        <v>0</v>
      </c>
      <c r="R205" s="20" t="n">
        <v>0</v>
      </c>
      <c r="S205" s="21" t="n">
        <v>0</v>
      </c>
      <c r="T205" s="22" t="n">
        <v>15815.99</v>
      </c>
      <c r="U205" s="23" t="n">
        <v>1</v>
      </c>
      <c r="V205" s="23" t="n">
        <v>0</v>
      </c>
      <c r="W205" s="23" t="n">
        <v>0</v>
      </c>
      <c r="X205" s="40" t="n"/>
      <c r="Y205" s="18" t="n"/>
      <c r="Z205" s="18" t="inlineStr">
        <is>
          <t>NÃO</t>
        </is>
      </c>
    </row>
    <row r="206">
      <c r="A206" s="18" t="inlineStr">
        <is>
          <t>16/CIDAN</t>
        </is>
      </c>
      <c r="B206" s="18" t="inlineStr">
        <is>
          <t>SPE - CIDADE NOVA LTDA</t>
        </is>
      </c>
      <c r="C206" s="18" t="inlineStr">
        <is>
          <t>387</t>
        </is>
      </c>
      <c r="D206" s="18" t="inlineStr">
        <is>
          <t>ROMARIZ DE SOUSA LEÃO</t>
        </is>
      </c>
      <c r="E206" s="25" t="inlineStr">
        <is>
          <t>QUADRA 92/LOTE 02|QUADRA 92/LOTE 34</t>
        </is>
      </c>
      <c r="F206" s="43" t="inlineStr">
        <is>
          <t>QUITADO</t>
        </is>
      </c>
      <c r="G206" s="22" t="n">
        <v>0</v>
      </c>
      <c r="H206" s="20" t="n">
        <v>192</v>
      </c>
      <c r="I206" s="20" t="n">
        <v>12</v>
      </c>
      <c r="J206" s="21" t="n">
        <v>3535.98</v>
      </c>
      <c r="K206" s="44" t="n">
        <v>0</v>
      </c>
      <c r="L206" s="22" t="n">
        <v>0</v>
      </c>
      <c r="M206" s="22" t="n">
        <v>0</v>
      </c>
      <c r="N206" s="22" t="n">
        <v>0</v>
      </c>
      <c r="O206" s="22" t="n">
        <v>0</v>
      </c>
      <c r="P206" s="22" t="n">
        <v>0</v>
      </c>
      <c r="Q206" s="21" t="n">
        <v>0</v>
      </c>
      <c r="R206" s="20" t="n">
        <v>0</v>
      </c>
      <c r="S206" s="21" t="n">
        <v>0</v>
      </c>
      <c r="T206" s="22" t="n">
        <v>3535.98</v>
      </c>
      <c r="U206" s="23" t="n">
        <v>1</v>
      </c>
      <c r="V206" s="23" t="n">
        <v>0</v>
      </c>
      <c r="W206" s="23" t="n">
        <v>0</v>
      </c>
      <c r="X206" s="40" t="n"/>
      <c r="Y206" s="18" t="n"/>
      <c r="Z206" s="18" t="inlineStr">
        <is>
          <t>NÃO</t>
        </is>
      </c>
    </row>
    <row r="207">
      <c r="A207" s="18" t="inlineStr">
        <is>
          <t>16/CIDAN</t>
        </is>
      </c>
      <c r="B207" s="18" t="inlineStr">
        <is>
          <t>SPE - CIDADE NOVA LTDA</t>
        </is>
      </c>
      <c r="C207" s="18" t="inlineStr">
        <is>
          <t>389</t>
        </is>
      </c>
      <c r="D207" s="18" t="inlineStr">
        <is>
          <t>EDSON DA SILVA BATISTA</t>
        </is>
      </c>
      <c r="E207" s="25" t="inlineStr">
        <is>
          <t>QUADRA 70/LOTE 18</t>
        </is>
      </c>
      <c r="F207" s="52" t="inlineStr">
        <is>
          <t>ADIMPLENTE</t>
        </is>
      </c>
      <c r="G207" s="22" t="n">
        <v>275</v>
      </c>
      <c r="H207" s="20" t="n">
        <v>120</v>
      </c>
      <c r="I207" s="20" t="n">
        <v>56</v>
      </c>
      <c r="J207" s="21" t="n">
        <v>18548.12</v>
      </c>
      <c r="K207" s="44" t="n">
        <v>0</v>
      </c>
      <c r="L207" s="22" t="n">
        <v>0</v>
      </c>
      <c r="M207" s="22" t="n">
        <v>0</v>
      </c>
      <c r="N207" s="22" t="n">
        <v>0</v>
      </c>
      <c r="O207" s="22" t="n">
        <v>0</v>
      </c>
      <c r="P207" s="22" t="n">
        <v>0</v>
      </c>
      <c r="Q207" s="21" t="n">
        <v>0</v>
      </c>
      <c r="R207" s="20" t="n">
        <v>64</v>
      </c>
      <c r="S207" s="21" t="n">
        <v>29280.64</v>
      </c>
      <c r="T207" s="22" t="n">
        <v>47828.76</v>
      </c>
      <c r="U207" s="23" t="n">
        <v>0.387803</v>
      </c>
      <c r="V207" s="23" t="n">
        <v>0</v>
      </c>
      <c r="W207" s="23" t="n">
        <v>0.612197</v>
      </c>
      <c r="X207" s="40" t="n">
        <v>26</v>
      </c>
      <c r="Y207" s="18" t="n"/>
      <c r="Z207" s="18" t="inlineStr">
        <is>
          <t>NÃO</t>
        </is>
      </c>
    </row>
    <row r="208">
      <c r="A208" s="18" t="inlineStr">
        <is>
          <t>16/CIDAN</t>
        </is>
      </c>
      <c r="B208" s="18" t="inlineStr">
        <is>
          <t>SPE - CIDADE NOVA LTDA</t>
        </is>
      </c>
      <c r="C208" s="18" t="inlineStr">
        <is>
          <t>390</t>
        </is>
      </c>
      <c r="D208" s="18" t="inlineStr">
        <is>
          <t>JAKSON JOSUE DIAS SALOMÃO</t>
        </is>
      </c>
      <c r="E208" s="25" t="inlineStr">
        <is>
          <t>QUADRA 81/LOTE 21</t>
        </is>
      </c>
      <c r="F208" s="43" t="inlineStr">
        <is>
          <t>QUITADO</t>
        </is>
      </c>
      <c r="G208" s="22" t="n">
        <v>0</v>
      </c>
      <c r="H208" s="20" t="n">
        <v>120</v>
      </c>
      <c r="I208" s="20" t="n">
        <v>9</v>
      </c>
      <c r="J208" s="21" t="n">
        <v>2551.15</v>
      </c>
      <c r="K208" s="44" t="n">
        <v>0</v>
      </c>
      <c r="L208" s="22" t="n">
        <v>0</v>
      </c>
      <c r="M208" s="22" t="n">
        <v>0</v>
      </c>
      <c r="N208" s="22" t="n">
        <v>0</v>
      </c>
      <c r="O208" s="22" t="n">
        <v>0</v>
      </c>
      <c r="P208" s="22" t="n">
        <v>0</v>
      </c>
      <c r="Q208" s="21" t="n">
        <v>0</v>
      </c>
      <c r="R208" s="20" t="n">
        <v>0</v>
      </c>
      <c r="S208" s="21" t="n">
        <v>0</v>
      </c>
      <c r="T208" s="22" t="n">
        <v>2551.15</v>
      </c>
      <c r="U208" s="23" t="n">
        <v>1</v>
      </c>
      <c r="V208" s="23" t="n">
        <v>0</v>
      </c>
      <c r="W208" s="23" t="n">
        <v>0</v>
      </c>
      <c r="X208" s="40" t="n"/>
      <c r="Y208" s="18" t="n"/>
      <c r="Z208" s="18" t="inlineStr">
        <is>
          <t>NÃO</t>
        </is>
      </c>
    </row>
    <row r="209">
      <c r="A209" s="18" t="inlineStr">
        <is>
          <t>16/CIDAN</t>
        </is>
      </c>
      <c r="B209" s="18" t="inlineStr">
        <is>
          <t>SPE - CIDADE NOVA LTDA</t>
        </is>
      </c>
      <c r="C209" s="18" t="inlineStr">
        <is>
          <t>394</t>
        </is>
      </c>
      <c r="D209" s="18" t="inlineStr">
        <is>
          <t>EDSON DA SILVA BATISTA</t>
        </is>
      </c>
      <c r="E209" s="25" t="inlineStr">
        <is>
          <t>QUADRA 69/LOTE 18</t>
        </is>
      </c>
      <c r="F209" s="52" t="inlineStr">
        <is>
          <t>ADIMPLENTE</t>
        </is>
      </c>
      <c r="G209" s="22" t="n">
        <v>1037.08</v>
      </c>
      <c r="H209" s="20" t="n">
        <v>96</v>
      </c>
      <c r="I209" s="20" t="n">
        <v>74</v>
      </c>
      <c r="J209" s="21" t="n">
        <v>31514.87</v>
      </c>
      <c r="K209" s="44" t="n">
        <v>0</v>
      </c>
      <c r="L209" s="22" t="n">
        <v>0</v>
      </c>
      <c r="M209" s="22" t="n">
        <v>0</v>
      </c>
      <c r="N209" s="22" t="n">
        <v>0</v>
      </c>
      <c r="O209" s="22" t="n">
        <v>0</v>
      </c>
      <c r="P209" s="22" t="n">
        <v>0</v>
      </c>
      <c r="Q209" s="21" t="n">
        <v>0</v>
      </c>
      <c r="R209" s="20" t="n">
        <v>5</v>
      </c>
      <c r="S209" s="21" t="n">
        <v>5185.4</v>
      </c>
      <c r="T209" s="22" t="n">
        <v>36700.27</v>
      </c>
      <c r="U209" s="23" t="n">
        <v>0.8587089999999999</v>
      </c>
      <c r="V209" s="23" t="n">
        <v>0</v>
      </c>
      <c r="W209" s="23" t="n">
        <v>0.141291</v>
      </c>
      <c r="X209" s="40" t="n">
        <v>20</v>
      </c>
      <c r="Y209" s="18" t="n"/>
      <c r="Z209" s="18" t="inlineStr">
        <is>
          <t>NÃO</t>
        </is>
      </c>
    </row>
    <row r="210">
      <c r="A210" s="18" t="inlineStr">
        <is>
          <t>16/CIDAN</t>
        </is>
      </c>
      <c r="B210" s="18" t="inlineStr">
        <is>
          <t>SPE - CIDADE NOVA LTDA</t>
        </is>
      </c>
      <c r="C210" s="18" t="inlineStr">
        <is>
          <t>395</t>
        </is>
      </c>
      <c r="D210" s="18" t="inlineStr">
        <is>
          <t>EDSON DA SILVA BATISTA</t>
        </is>
      </c>
      <c r="E210" s="25" t="inlineStr">
        <is>
          <t>QUADRA 69/LOTE 19</t>
        </is>
      </c>
      <c r="F210" s="43" t="inlineStr">
        <is>
          <t>QUITADO</t>
        </is>
      </c>
      <c r="G210" s="22" t="n">
        <v>0</v>
      </c>
      <c r="H210" s="20" t="n">
        <v>96</v>
      </c>
      <c r="I210" s="20" t="n">
        <v>40</v>
      </c>
      <c r="J210" s="21" t="n">
        <v>13182.48</v>
      </c>
      <c r="K210" s="44" t="n">
        <v>0</v>
      </c>
      <c r="L210" s="22" t="n">
        <v>0</v>
      </c>
      <c r="M210" s="22" t="n">
        <v>0</v>
      </c>
      <c r="N210" s="22" t="n">
        <v>0</v>
      </c>
      <c r="O210" s="22" t="n">
        <v>0</v>
      </c>
      <c r="P210" s="22" t="n">
        <v>0</v>
      </c>
      <c r="Q210" s="21" t="n">
        <v>0</v>
      </c>
      <c r="R210" s="20" t="n">
        <v>0</v>
      </c>
      <c r="S210" s="21" t="n">
        <v>0</v>
      </c>
      <c r="T210" s="22" t="n">
        <v>13182.48</v>
      </c>
      <c r="U210" s="23" t="n">
        <v>1</v>
      </c>
      <c r="V210" s="23" t="n">
        <v>0</v>
      </c>
      <c r="W210" s="23" t="n">
        <v>0</v>
      </c>
      <c r="X210" s="40" t="n"/>
      <c r="Y210" s="18" t="n"/>
      <c r="Z210" s="18" t="inlineStr">
        <is>
          <t>NÃO</t>
        </is>
      </c>
    </row>
    <row r="211">
      <c r="A211" s="18" t="inlineStr">
        <is>
          <t>16/CIDAN</t>
        </is>
      </c>
      <c r="B211" s="18" t="inlineStr">
        <is>
          <t>SPE - CIDADE NOVA LTDA</t>
        </is>
      </c>
      <c r="C211" s="18" t="inlineStr">
        <is>
          <t>396</t>
        </is>
      </c>
      <c r="D211" s="18" t="inlineStr">
        <is>
          <t>CLEBIO DIAS SOARES</t>
        </is>
      </c>
      <c r="E211" s="25" t="inlineStr">
        <is>
          <t>QUADRA 04/LOTE 20|QUADRA 04/LOTE 21</t>
        </is>
      </c>
      <c r="F211" s="43" t="inlineStr">
        <is>
          <t>QUITADO</t>
        </is>
      </c>
      <c r="G211" s="22" t="n">
        <v>14316.28</v>
      </c>
      <c r="H211" s="20" t="n">
        <v>1</v>
      </c>
      <c r="I211" s="20" t="n">
        <v>1</v>
      </c>
      <c r="J211" s="21" t="n">
        <v>14316.28</v>
      </c>
      <c r="K211" s="44" t="n">
        <v>0</v>
      </c>
      <c r="L211" s="22" t="n">
        <v>0</v>
      </c>
      <c r="M211" s="22" t="n">
        <v>0</v>
      </c>
      <c r="N211" s="22" t="n">
        <v>0</v>
      </c>
      <c r="O211" s="22" t="n">
        <v>0</v>
      </c>
      <c r="P211" s="22" t="n">
        <v>0</v>
      </c>
      <c r="Q211" s="21" t="n">
        <v>0</v>
      </c>
      <c r="R211" s="20" t="n">
        <v>0</v>
      </c>
      <c r="S211" s="21" t="n">
        <v>0</v>
      </c>
      <c r="T211" s="22" t="n">
        <v>14316.28</v>
      </c>
      <c r="U211" s="23" t="n">
        <v>1</v>
      </c>
      <c r="V211" s="23" t="n">
        <v>0</v>
      </c>
      <c r="W211" s="23" t="n">
        <v>0</v>
      </c>
      <c r="X211" s="40" t="n"/>
      <c r="Y211" s="18" t="n"/>
      <c r="Z211" s="18" t="inlineStr">
        <is>
          <t>NÃO</t>
        </is>
      </c>
    </row>
    <row r="212">
      <c r="A212" s="18" t="inlineStr">
        <is>
          <t>16/CIDAN</t>
        </is>
      </c>
      <c r="B212" s="18" t="inlineStr">
        <is>
          <t>SPE - CIDADE NOVA LTDA</t>
        </is>
      </c>
      <c r="C212" s="18" t="inlineStr">
        <is>
          <t>399</t>
        </is>
      </c>
      <c r="D212" s="18" t="inlineStr">
        <is>
          <t>LENILTON VIEIRA DA SILVA</t>
        </is>
      </c>
      <c r="E212" s="25" t="inlineStr">
        <is>
          <t>QUADRA 70/LOTE 04</t>
        </is>
      </c>
      <c r="F212" s="52" t="inlineStr">
        <is>
          <t>ADIMPLENTE</t>
        </is>
      </c>
      <c r="G212" s="22" t="n">
        <v>312.5</v>
      </c>
      <c r="H212" s="20" t="n">
        <v>96</v>
      </c>
      <c r="I212" s="20" t="n">
        <v>44</v>
      </c>
      <c r="J212" s="21" t="n">
        <v>14966.19</v>
      </c>
      <c r="K212" s="44" t="n">
        <v>0</v>
      </c>
      <c r="L212" s="22" t="n">
        <v>0</v>
      </c>
      <c r="M212" s="22" t="n">
        <v>0</v>
      </c>
      <c r="N212" s="22" t="n">
        <v>0</v>
      </c>
      <c r="O212" s="22" t="n">
        <v>0</v>
      </c>
      <c r="P212" s="22" t="n">
        <v>0</v>
      </c>
      <c r="Q212" s="21" t="n">
        <v>0</v>
      </c>
      <c r="R212" s="20" t="n">
        <v>52</v>
      </c>
      <c r="S212" s="21" t="n">
        <v>21779.68</v>
      </c>
      <c r="T212" s="22" t="n">
        <v>36745.87</v>
      </c>
      <c r="U212" s="23" t="n">
        <v>0.407289</v>
      </c>
      <c r="V212" s="23" t="n">
        <v>0</v>
      </c>
      <c r="W212" s="23" t="n">
        <v>0.592711</v>
      </c>
      <c r="X212" s="40" t="n">
        <v>20</v>
      </c>
      <c r="Y212" s="18" t="n"/>
      <c r="Z212" s="18" t="inlineStr">
        <is>
          <t>NÃO</t>
        </is>
      </c>
    </row>
    <row r="213">
      <c r="A213" s="18" t="inlineStr">
        <is>
          <t>16/CIDAN</t>
        </is>
      </c>
      <c r="B213" s="18" t="inlineStr">
        <is>
          <t>SPE - CIDADE NOVA LTDA</t>
        </is>
      </c>
      <c r="C213" s="18" t="inlineStr">
        <is>
          <t>40</t>
        </is>
      </c>
      <c r="D213" s="18" t="inlineStr">
        <is>
          <t>OSMAR PALOCO</t>
        </is>
      </c>
      <c r="E213" s="25" t="inlineStr">
        <is>
          <t>QUADRA 02/LOTE 13</t>
        </is>
      </c>
      <c r="F213" s="43" t="inlineStr">
        <is>
          <t>QUITADO</t>
        </is>
      </c>
      <c r="G213" s="22" t="n">
        <v>0</v>
      </c>
      <c r="H213" s="20" t="n">
        <v>178</v>
      </c>
      <c r="I213" s="20" t="n">
        <v>27</v>
      </c>
      <c r="J213" s="21" t="n">
        <v>8517.940000000001</v>
      </c>
      <c r="K213" s="44" t="n">
        <v>0</v>
      </c>
      <c r="L213" s="22" t="n">
        <v>0</v>
      </c>
      <c r="M213" s="22" t="n">
        <v>0</v>
      </c>
      <c r="N213" s="22" t="n">
        <v>0</v>
      </c>
      <c r="O213" s="22" t="n">
        <v>0</v>
      </c>
      <c r="P213" s="22" t="n">
        <v>0</v>
      </c>
      <c r="Q213" s="21" t="n">
        <v>0</v>
      </c>
      <c r="R213" s="20" t="n">
        <v>0</v>
      </c>
      <c r="S213" s="21" t="n">
        <v>0</v>
      </c>
      <c r="T213" s="22" t="n">
        <v>8517.940000000001</v>
      </c>
      <c r="U213" s="23" t="n">
        <v>1</v>
      </c>
      <c r="V213" s="23" t="n">
        <v>0</v>
      </c>
      <c r="W213" s="23" t="n">
        <v>0</v>
      </c>
      <c r="X213" s="40" t="n"/>
      <c r="Y213" s="18" t="n"/>
      <c r="Z213" s="18" t="inlineStr">
        <is>
          <t>NÃO</t>
        </is>
      </c>
    </row>
    <row r="214">
      <c r="A214" s="18" t="inlineStr">
        <is>
          <t>16/CIDAN</t>
        </is>
      </c>
      <c r="B214" s="18" t="inlineStr">
        <is>
          <t>SPE - CIDADE NOVA LTDA</t>
        </is>
      </c>
      <c r="C214" s="18" t="inlineStr">
        <is>
          <t>400</t>
        </is>
      </c>
      <c r="D214" s="18" t="inlineStr">
        <is>
          <t>LENILTON VIEIRA DA SILVA</t>
        </is>
      </c>
      <c r="E214" s="25" t="inlineStr">
        <is>
          <t>QUADRA 70/LOTE 03</t>
        </is>
      </c>
      <c r="F214" s="52" t="inlineStr">
        <is>
          <t>ADIMPLENTE</t>
        </is>
      </c>
      <c r="G214" s="22" t="n">
        <v>312.5</v>
      </c>
      <c r="H214" s="20" t="n">
        <v>96</v>
      </c>
      <c r="I214" s="20" t="n">
        <v>44</v>
      </c>
      <c r="J214" s="21" t="n">
        <v>14697.73</v>
      </c>
      <c r="K214" s="44" t="n">
        <v>0</v>
      </c>
      <c r="L214" s="22" t="n">
        <v>0</v>
      </c>
      <c r="M214" s="22" t="n">
        <v>0</v>
      </c>
      <c r="N214" s="22" t="n">
        <v>0</v>
      </c>
      <c r="O214" s="22" t="n">
        <v>0</v>
      </c>
      <c r="P214" s="22" t="n">
        <v>0</v>
      </c>
      <c r="Q214" s="21" t="n">
        <v>0</v>
      </c>
      <c r="R214" s="20" t="n">
        <v>52</v>
      </c>
      <c r="S214" s="21" t="n">
        <v>21779.68</v>
      </c>
      <c r="T214" s="22" t="n">
        <v>36477.41</v>
      </c>
      <c r="U214" s="23" t="n">
        <v>0.402927</v>
      </c>
      <c r="V214" s="23" t="n">
        <v>0</v>
      </c>
      <c r="W214" s="23" t="n">
        <v>0.597073</v>
      </c>
      <c r="X214" s="40" t="n">
        <v>20</v>
      </c>
      <c r="Y214" s="18" t="n"/>
      <c r="Z214" s="18" t="inlineStr">
        <is>
          <t>NÃO</t>
        </is>
      </c>
    </row>
    <row r="215">
      <c r="A215" s="18" t="inlineStr">
        <is>
          <t>16/CIDAN</t>
        </is>
      </c>
      <c r="B215" s="18" t="inlineStr">
        <is>
          <t>SPE - CIDADE NOVA LTDA</t>
        </is>
      </c>
      <c r="C215" s="18" t="inlineStr">
        <is>
          <t>404</t>
        </is>
      </c>
      <c r="D215" s="18" t="inlineStr">
        <is>
          <t>ADILSON JOSE DA SILVA</t>
        </is>
      </c>
      <c r="E215" s="25" t="inlineStr">
        <is>
          <t>QUADRA 92/LOTE 01</t>
        </is>
      </c>
      <c r="F215" s="43" t="inlineStr">
        <is>
          <t>QUITADO</t>
        </is>
      </c>
      <c r="G215" s="22" t="n">
        <v>0</v>
      </c>
      <c r="H215" s="20" t="n">
        <v>192</v>
      </c>
      <c r="I215" s="20" t="n">
        <v>11</v>
      </c>
      <c r="J215" s="21" t="n">
        <v>4165.35</v>
      </c>
      <c r="K215" s="44" t="n">
        <v>0</v>
      </c>
      <c r="L215" s="22" t="n">
        <v>0</v>
      </c>
      <c r="M215" s="22" t="n">
        <v>0</v>
      </c>
      <c r="N215" s="22" t="n">
        <v>0</v>
      </c>
      <c r="O215" s="22" t="n">
        <v>0</v>
      </c>
      <c r="P215" s="22" t="n">
        <v>0</v>
      </c>
      <c r="Q215" s="21" t="n">
        <v>0</v>
      </c>
      <c r="R215" s="20" t="n">
        <v>0</v>
      </c>
      <c r="S215" s="21" t="n">
        <v>0</v>
      </c>
      <c r="T215" s="22" t="n">
        <v>4165.35</v>
      </c>
      <c r="U215" s="23" t="n">
        <v>1</v>
      </c>
      <c r="V215" s="23" t="n">
        <v>0</v>
      </c>
      <c r="W215" s="23" t="n">
        <v>0</v>
      </c>
      <c r="X215" s="40" t="n"/>
      <c r="Y215" s="18" t="n"/>
      <c r="Z215" s="18" t="inlineStr">
        <is>
          <t>NÃO</t>
        </is>
      </c>
    </row>
    <row r="216">
      <c r="A216" s="18" t="inlineStr">
        <is>
          <t>16/CIDAN</t>
        </is>
      </c>
      <c r="B216" s="18" t="inlineStr">
        <is>
          <t>SPE - CIDADE NOVA LTDA</t>
        </is>
      </c>
      <c r="C216" s="18" t="inlineStr">
        <is>
          <t>405</t>
        </is>
      </c>
      <c r="D216" s="18" t="inlineStr">
        <is>
          <t>ADILSON JOSE DA SILVA</t>
        </is>
      </c>
      <c r="E216" s="25" t="inlineStr">
        <is>
          <t>QUADRA 92/LOTE 02|QUADRA 92/LOTE 34</t>
        </is>
      </c>
      <c r="F216" s="43" t="inlineStr">
        <is>
          <t>QUITADO</t>
        </is>
      </c>
      <c r="G216" s="22" t="n">
        <v>0</v>
      </c>
      <c r="H216" s="20" t="n">
        <v>192</v>
      </c>
      <c r="I216" s="20" t="n">
        <v>7</v>
      </c>
      <c r="J216" s="21" t="n">
        <v>4364.15</v>
      </c>
      <c r="K216" s="44" t="n">
        <v>0</v>
      </c>
      <c r="L216" s="22" t="n">
        <v>0</v>
      </c>
      <c r="M216" s="22" t="n">
        <v>0</v>
      </c>
      <c r="N216" s="22" t="n">
        <v>0</v>
      </c>
      <c r="O216" s="22" t="n">
        <v>0</v>
      </c>
      <c r="P216" s="22" t="n">
        <v>0</v>
      </c>
      <c r="Q216" s="21" t="n">
        <v>0</v>
      </c>
      <c r="R216" s="20" t="n">
        <v>0</v>
      </c>
      <c r="S216" s="21" t="n">
        <v>0</v>
      </c>
      <c r="T216" s="22" t="n">
        <v>4364.15</v>
      </c>
      <c r="U216" s="23" t="n">
        <v>1</v>
      </c>
      <c r="V216" s="23" t="n">
        <v>0</v>
      </c>
      <c r="W216" s="23" t="n">
        <v>0</v>
      </c>
      <c r="X216" s="40" t="n"/>
      <c r="Y216" s="18" t="n"/>
      <c r="Z216" s="18" t="inlineStr">
        <is>
          <t>NÃO</t>
        </is>
      </c>
    </row>
    <row r="217">
      <c r="A217" s="18" t="inlineStr">
        <is>
          <t>16/CIDAN</t>
        </is>
      </c>
      <c r="B217" s="18" t="inlineStr">
        <is>
          <t>SPE - CIDADE NOVA LTDA</t>
        </is>
      </c>
      <c r="C217" s="18" t="inlineStr">
        <is>
          <t>407</t>
        </is>
      </c>
      <c r="D217" s="18" t="inlineStr">
        <is>
          <t>IGREJA DO DEUS ALTISSIMO</t>
        </is>
      </c>
      <c r="E217" s="25" t="inlineStr">
        <is>
          <t>QUADRA 69/LOTE 17</t>
        </is>
      </c>
      <c r="F217" s="43" t="inlineStr">
        <is>
          <t>QUITADO</t>
        </is>
      </c>
      <c r="G217" s="22" t="n">
        <v>0</v>
      </c>
      <c r="H217" s="20" t="n">
        <v>60</v>
      </c>
      <c r="I217" s="20" t="n">
        <v>7</v>
      </c>
      <c r="J217" s="21" t="n">
        <v>3510.83</v>
      </c>
      <c r="K217" s="44" t="n">
        <v>0</v>
      </c>
      <c r="L217" s="22" t="n">
        <v>0</v>
      </c>
      <c r="M217" s="22" t="n">
        <v>0</v>
      </c>
      <c r="N217" s="22" t="n">
        <v>0</v>
      </c>
      <c r="O217" s="22" t="n">
        <v>0</v>
      </c>
      <c r="P217" s="22" t="n">
        <v>0</v>
      </c>
      <c r="Q217" s="21" t="n">
        <v>0</v>
      </c>
      <c r="R217" s="20" t="n">
        <v>0</v>
      </c>
      <c r="S217" s="21" t="n">
        <v>0</v>
      </c>
      <c r="T217" s="22" t="n">
        <v>3510.83</v>
      </c>
      <c r="U217" s="23" t="n">
        <v>1</v>
      </c>
      <c r="V217" s="23" t="n">
        <v>0</v>
      </c>
      <c r="W217" s="23" t="n">
        <v>0</v>
      </c>
      <c r="X217" s="40" t="n"/>
      <c r="Y217" s="18" t="n"/>
      <c r="Z217" s="18" t="inlineStr">
        <is>
          <t>NÃO</t>
        </is>
      </c>
    </row>
    <row r="218">
      <c r="A218" s="18" t="inlineStr">
        <is>
          <t>16/CIDAN</t>
        </is>
      </c>
      <c r="B218" s="18" t="inlineStr">
        <is>
          <t>SPE - CIDADE NOVA LTDA</t>
        </is>
      </c>
      <c r="C218" s="18" t="inlineStr">
        <is>
          <t>409</t>
        </is>
      </c>
      <c r="D218" s="18" t="inlineStr">
        <is>
          <t>IGREJA PENTECOSTAL DEUS E AMOR</t>
        </is>
      </c>
      <c r="E218" s="25" t="inlineStr">
        <is>
          <t>QUADRA 81/LOTE 21</t>
        </is>
      </c>
      <c r="F218" s="43" t="inlineStr">
        <is>
          <t>QUITADO</t>
        </is>
      </c>
      <c r="G218" s="22" t="n">
        <v>0</v>
      </c>
      <c r="H218" s="20" t="n">
        <v>3</v>
      </c>
      <c r="I218" s="20" t="n">
        <v>3</v>
      </c>
      <c r="J218" s="21" t="n">
        <v>19000</v>
      </c>
      <c r="K218" s="44" t="n">
        <v>0</v>
      </c>
      <c r="L218" s="22" t="n">
        <v>0</v>
      </c>
      <c r="M218" s="22" t="n">
        <v>0</v>
      </c>
      <c r="N218" s="22" t="n">
        <v>0</v>
      </c>
      <c r="O218" s="22" t="n">
        <v>0</v>
      </c>
      <c r="P218" s="22" t="n">
        <v>0</v>
      </c>
      <c r="Q218" s="21" t="n">
        <v>0</v>
      </c>
      <c r="R218" s="20" t="n">
        <v>0</v>
      </c>
      <c r="S218" s="21" t="n">
        <v>0</v>
      </c>
      <c r="T218" s="22" t="n">
        <v>19000</v>
      </c>
      <c r="U218" s="23" t="n">
        <v>1</v>
      </c>
      <c r="V218" s="23" t="n">
        <v>0</v>
      </c>
      <c r="W218" s="23" t="n">
        <v>0</v>
      </c>
      <c r="X218" s="40" t="n"/>
      <c r="Y218" s="18" t="n"/>
      <c r="Z218" s="18" t="inlineStr">
        <is>
          <t>NÃO</t>
        </is>
      </c>
    </row>
    <row r="219">
      <c r="A219" s="18" t="inlineStr">
        <is>
          <t>16/CIDAN</t>
        </is>
      </c>
      <c r="B219" s="18" t="inlineStr">
        <is>
          <t>SPE - CIDADE NOVA LTDA</t>
        </is>
      </c>
      <c r="C219" s="18" t="inlineStr">
        <is>
          <t>410</t>
        </is>
      </c>
      <c r="D219" s="18" t="inlineStr">
        <is>
          <t>GERMANO VASCONCELOS DE BRITO</t>
        </is>
      </c>
      <c r="E219" s="25" t="inlineStr">
        <is>
          <t>QUADRA 54/LOTE 19</t>
        </is>
      </c>
      <c r="F219" s="43" t="inlineStr">
        <is>
          <t>QUITADO</t>
        </is>
      </c>
      <c r="G219" s="22" t="n">
        <v>0</v>
      </c>
      <c r="H219" s="20" t="n">
        <v>72</v>
      </c>
      <c r="I219" s="20" t="n">
        <v>11</v>
      </c>
      <c r="J219" s="21" t="n">
        <v>5536.25</v>
      </c>
      <c r="K219" s="44" t="n">
        <v>0</v>
      </c>
      <c r="L219" s="22" t="n">
        <v>0</v>
      </c>
      <c r="M219" s="22" t="n">
        <v>0</v>
      </c>
      <c r="N219" s="22" t="n">
        <v>0</v>
      </c>
      <c r="O219" s="22" t="n">
        <v>0</v>
      </c>
      <c r="P219" s="22" t="n">
        <v>0</v>
      </c>
      <c r="Q219" s="21" t="n">
        <v>0</v>
      </c>
      <c r="R219" s="20" t="n">
        <v>0</v>
      </c>
      <c r="S219" s="21" t="n">
        <v>0</v>
      </c>
      <c r="T219" s="22" t="n">
        <v>5536.25</v>
      </c>
      <c r="U219" s="23" t="n">
        <v>1</v>
      </c>
      <c r="V219" s="23" t="n">
        <v>0</v>
      </c>
      <c r="W219" s="23" t="n">
        <v>0</v>
      </c>
      <c r="X219" s="40" t="n"/>
      <c r="Y219" s="18" t="n"/>
      <c r="Z219" s="18" t="inlineStr">
        <is>
          <t>NÃO</t>
        </is>
      </c>
    </row>
    <row r="220">
      <c r="A220" s="18" t="inlineStr">
        <is>
          <t>16/CIDAN</t>
        </is>
      </c>
      <c r="B220" s="18" t="inlineStr">
        <is>
          <t>SPE - CIDADE NOVA LTDA</t>
        </is>
      </c>
      <c r="C220" s="18" t="inlineStr">
        <is>
          <t>411</t>
        </is>
      </c>
      <c r="D220" s="18" t="inlineStr">
        <is>
          <t>SEBASTIÃO DE SOUZA CRUZ</t>
        </is>
      </c>
      <c r="E220" s="25" t="inlineStr">
        <is>
          <t>QUADRA 39/LOTE 21</t>
        </is>
      </c>
      <c r="F220" s="52" t="inlineStr">
        <is>
          <t>ADIMPLENTE</t>
        </is>
      </c>
      <c r="G220" s="22" t="n">
        <v>583.34</v>
      </c>
      <c r="H220" s="20" t="n">
        <v>60</v>
      </c>
      <c r="I220" s="20" t="n">
        <v>28</v>
      </c>
      <c r="J220" s="21" t="n">
        <v>16749.5</v>
      </c>
      <c r="K220" s="44" t="n">
        <v>0</v>
      </c>
      <c r="L220" s="22" t="n">
        <v>0</v>
      </c>
      <c r="M220" s="22" t="n">
        <v>0</v>
      </c>
      <c r="N220" s="22" t="n">
        <v>0</v>
      </c>
      <c r="O220" s="22" t="n">
        <v>0</v>
      </c>
      <c r="P220" s="22" t="n">
        <v>0</v>
      </c>
      <c r="Q220" s="21" t="n">
        <v>0</v>
      </c>
      <c r="R220" s="20" t="n">
        <v>32</v>
      </c>
      <c r="S220" s="21" t="n">
        <v>20760.64</v>
      </c>
      <c r="T220" s="22" t="n">
        <v>37510.14</v>
      </c>
      <c r="U220" s="23" t="n">
        <v>0.446533</v>
      </c>
      <c r="V220" s="23" t="n">
        <v>0</v>
      </c>
      <c r="W220" s="23" t="n">
        <v>0.553467</v>
      </c>
      <c r="X220" s="40" t="n">
        <v>10</v>
      </c>
      <c r="Y220" s="18" t="n"/>
      <c r="Z220" s="18" t="inlineStr">
        <is>
          <t>NÃO</t>
        </is>
      </c>
    </row>
    <row r="221">
      <c r="A221" s="18" t="inlineStr">
        <is>
          <t>16/CIDAN</t>
        </is>
      </c>
      <c r="B221" s="18" t="inlineStr">
        <is>
          <t>SPE - CIDADE NOVA LTDA</t>
        </is>
      </c>
      <c r="C221" s="18" t="inlineStr">
        <is>
          <t>415</t>
        </is>
      </c>
      <c r="D221" s="18" t="inlineStr">
        <is>
          <t>RUDISON ALVES PIRES</t>
        </is>
      </c>
      <c r="E221" s="25" t="inlineStr">
        <is>
          <t>QUADRA 54/LOTE 21</t>
        </is>
      </c>
      <c r="F221" s="43" t="inlineStr">
        <is>
          <t>QUITADO</t>
        </is>
      </c>
      <c r="G221" s="22" t="n">
        <v>0</v>
      </c>
      <c r="H221" s="20" t="n">
        <v>50</v>
      </c>
      <c r="I221" s="20" t="n">
        <v>11</v>
      </c>
      <c r="J221" s="21" t="n">
        <v>7870.44</v>
      </c>
      <c r="K221" s="44" t="n">
        <v>0</v>
      </c>
      <c r="L221" s="22" t="n">
        <v>0</v>
      </c>
      <c r="M221" s="22" t="n">
        <v>0</v>
      </c>
      <c r="N221" s="22" t="n">
        <v>0</v>
      </c>
      <c r="O221" s="22" t="n">
        <v>0</v>
      </c>
      <c r="P221" s="22" t="n">
        <v>0</v>
      </c>
      <c r="Q221" s="21" t="n">
        <v>0</v>
      </c>
      <c r="R221" s="20" t="n">
        <v>0</v>
      </c>
      <c r="S221" s="21" t="n">
        <v>0</v>
      </c>
      <c r="T221" s="22" t="n">
        <v>7870.44</v>
      </c>
      <c r="U221" s="23" t="n">
        <v>1</v>
      </c>
      <c r="V221" s="23" t="n">
        <v>0</v>
      </c>
      <c r="W221" s="23" t="n">
        <v>0</v>
      </c>
      <c r="X221" s="40" t="n"/>
      <c r="Y221" s="18" t="n"/>
      <c r="Z221" s="18" t="inlineStr">
        <is>
          <t>NÃO</t>
        </is>
      </c>
    </row>
    <row r="222">
      <c r="A222" s="18" t="inlineStr">
        <is>
          <t>16/CIDAN</t>
        </is>
      </c>
      <c r="B222" s="18" t="inlineStr">
        <is>
          <t>SPE - CIDADE NOVA LTDA</t>
        </is>
      </c>
      <c r="C222" s="18" t="inlineStr">
        <is>
          <t>416</t>
        </is>
      </c>
      <c r="D222" s="18" t="inlineStr">
        <is>
          <t>COOPERATIVA DE CREDITO DE LIVRE ADMISSAO DA REGIAO METROPOLITANA DE GOIANIA LTDA.</t>
        </is>
      </c>
      <c r="E222" s="25" t="n"/>
      <c r="F222" s="43" t="inlineStr">
        <is>
          <t>QUITADO</t>
        </is>
      </c>
      <c r="G222" s="22" t="n">
        <v>2000000</v>
      </c>
      <c r="H222" s="20" t="n">
        <v>1</v>
      </c>
      <c r="I222" s="20" t="n">
        <v>1</v>
      </c>
      <c r="J222" s="21" t="n">
        <v>2000000</v>
      </c>
      <c r="K222" s="44" t="n">
        <v>0</v>
      </c>
      <c r="L222" s="22" t="n">
        <v>0</v>
      </c>
      <c r="M222" s="22" t="n">
        <v>0</v>
      </c>
      <c r="N222" s="22" t="n">
        <v>0</v>
      </c>
      <c r="O222" s="22" t="n">
        <v>0</v>
      </c>
      <c r="P222" s="22" t="n">
        <v>0</v>
      </c>
      <c r="Q222" s="21" t="n">
        <v>0</v>
      </c>
      <c r="R222" s="20" t="n">
        <v>0</v>
      </c>
      <c r="S222" s="21" t="n">
        <v>0</v>
      </c>
      <c r="T222" s="22" t="n">
        <v>2000000</v>
      </c>
      <c r="U222" s="23" t="n">
        <v>1</v>
      </c>
      <c r="V222" s="23" t="n">
        <v>0</v>
      </c>
      <c r="W222" s="23" t="n">
        <v>0</v>
      </c>
      <c r="X222" s="40" t="n"/>
      <c r="Y222" s="18" t="n"/>
      <c r="Z222" s="18" t="inlineStr">
        <is>
          <t>NÃO</t>
        </is>
      </c>
    </row>
    <row r="223">
      <c r="A223" s="18" t="inlineStr">
        <is>
          <t>16/CIDAN</t>
        </is>
      </c>
      <c r="B223" s="18" t="inlineStr">
        <is>
          <t>SPE - CIDADE NOVA LTDA</t>
        </is>
      </c>
      <c r="C223" s="18" t="inlineStr">
        <is>
          <t>417</t>
        </is>
      </c>
      <c r="D223" s="18" t="inlineStr">
        <is>
          <t>HWASKAR FAGUNDES</t>
        </is>
      </c>
      <c r="E223" s="25" t="n"/>
      <c r="F223" s="43" t="inlineStr">
        <is>
          <t>QUITADO</t>
        </is>
      </c>
      <c r="G223" s="22" t="n">
        <v>33894.2</v>
      </c>
      <c r="H223" s="20" t="n">
        <v>1</v>
      </c>
      <c r="I223" s="20" t="n">
        <v>1</v>
      </c>
      <c r="J223" s="21" t="n">
        <v>33894.2</v>
      </c>
      <c r="K223" s="44" t="n">
        <v>0</v>
      </c>
      <c r="L223" s="22" t="n">
        <v>0</v>
      </c>
      <c r="M223" s="22" t="n">
        <v>0</v>
      </c>
      <c r="N223" s="22" t="n">
        <v>0</v>
      </c>
      <c r="O223" s="22" t="n">
        <v>0</v>
      </c>
      <c r="P223" s="22" t="n">
        <v>0</v>
      </c>
      <c r="Q223" s="21" t="n">
        <v>0</v>
      </c>
      <c r="R223" s="20" t="n">
        <v>0</v>
      </c>
      <c r="S223" s="21" t="n">
        <v>0</v>
      </c>
      <c r="T223" s="22" t="n">
        <v>33894.2</v>
      </c>
      <c r="U223" s="23" t="n">
        <v>1</v>
      </c>
      <c r="V223" s="23" t="n">
        <v>0</v>
      </c>
      <c r="W223" s="23" t="n">
        <v>0</v>
      </c>
      <c r="X223" s="40" t="n"/>
      <c r="Y223" s="18" t="n"/>
      <c r="Z223" s="18" t="inlineStr">
        <is>
          <t>NÃO</t>
        </is>
      </c>
    </row>
    <row r="224">
      <c r="A224" s="18" t="inlineStr">
        <is>
          <t>16/CIDAN</t>
        </is>
      </c>
      <c r="B224" s="18" t="inlineStr">
        <is>
          <t>SPE - CIDADE NOVA LTDA</t>
        </is>
      </c>
      <c r="C224" s="18" t="inlineStr">
        <is>
          <t>418</t>
        </is>
      </c>
      <c r="D224" s="18" t="inlineStr">
        <is>
          <t>ELIKA STABILE DE SOUZA</t>
        </is>
      </c>
      <c r="E224" s="25" t="inlineStr">
        <is>
          <t>QUADRA 71/LOTE 03</t>
        </is>
      </c>
      <c r="F224" s="43" t="inlineStr">
        <is>
          <t>QUITADO</t>
        </is>
      </c>
      <c r="G224" s="22" t="n">
        <v>0</v>
      </c>
      <c r="H224" s="20" t="n">
        <v>5</v>
      </c>
      <c r="I224" s="20" t="n">
        <v>5</v>
      </c>
      <c r="J224" s="21" t="n">
        <v>20000</v>
      </c>
      <c r="K224" s="44" t="n">
        <v>0</v>
      </c>
      <c r="L224" s="22" t="n">
        <v>0</v>
      </c>
      <c r="M224" s="22" t="n">
        <v>0</v>
      </c>
      <c r="N224" s="22" t="n">
        <v>0</v>
      </c>
      <c r="O224" s="22" t="n">
        <v>0</v>
      </c>
      <c r="P224" s="22" t="n">
        <v>0</v>
      </c>
      <c r="Q224" s="21" t="n">
        <v>0</v>
      </c>
      <c r="R224" s="20" t="n">
        <v>0</v>
      </c>
      <c r="S224" s="21" t="n">
        <v>0</v>
      </c>
      <c r="T224" s="22" t="n">
        <v>20000</v>
      </c>
      <c r="U224" s="23" t="n">
        <v>1</v>
      </c>
      <c r="V224" s="23" t="n">
        <v>0</v>
      </c>
      <c r="W224" s="23" t="n">
        <v>0</v>
      </c>
      <c r="X224" s="40" t="n"/>
      <c r="Y224" s="18" t="n"/>
      <c r="Z224" s="18" t="inlineStr">
        <is>
          <t>NÃO</t>
        </is>
      </c>
    </row>
    <row r="225">
      <c r="A225" s="18" t="inlineStr">
        <is>
          <t>16/CIDAN</t>
        </is>
      </c>
      <c r="B225" s="18" t="inlineStr">
        <is>
          <t>SPE - CIDADE NOVA LTDA</t>
        </is>
      </c>
      <c r="C225" s="18" t="inlineStr">
        <is>
          <t>419</t>
        </is>
      </c>
      <c r="D225" s="18" t="inlineStr">
        <is>
          <t>FRANCISCO VALDEMIR FREITAS DA SILVA</t>
        </is>
      </c>
      <c r="E225" s="25" t="inlineStr">
        <is>
          <t>QUADRA 56/LOTE 09</t>
        </is>
      </c>
      <c r="F225" s="43" t="inlineStr">
        <is>
          <t>QUITADO</t>
        </is>
      </c>
      <c r="G225" s="22" t="n">
        <v>0</v>
      </c>
      <c r="H225" s="20" t="n">
        <v>72</v>
      </c>
      <c r="I225" s="20" t="n">
        <v>2</v>
      </c>
      <c r="J225" s="21" t="n">
        <v>1034.56</v>
      </c>
      <c r="K225" s="44" t="n">
        <v>0</v>
      </c>
      <c r="L225" s="22" t="n">
        <v>0</v>
      </c>
      <c r="M225" s="22" t="n">
        <v>0</v>
      </c>
      <c r="N225" s="22" t="n">
        <v>0</v>
      </c>
      <c r="O225" s="22" t="n">
        <v>0</v>
      </c>
      <c r="P225" s="22" t="n">
        <v>0</v>
      </c>
      <c r="Q225" s="21" t="n">
        <v>0</v>
      </c>
      <c r="R225" s="20" t="n">
        <v>0</v>
      </c>
      <c r="S225" s="21" t="n">
        <v>0</v>
      </c>
      <c r="T225" s="22" t="n">
        <v>1034.56</v>
      </c>
      <c r="U225" s="23" t="n">
        <v>1</v>
      </c>
      <c r="V225" s="23" t="n">
        <v>0</v>
      </c>
      <c r="W225" s="23" t="n">
        <v>0</v>
      </c>
      <c r="X225" s="40" t="n"/>
      <c r="Y225" s="18" t="n"/>
      <c r="Z225" s="18" t="inlineStr">
        <is>
          <t>NÃO</t>
        </is>
      </c>
    </row>
    <row r="226">
      <c r="A226" s="18" t="inlineStr">
        <is>
          <t>16/CIDAN</t>
        </is>
      </c>
      <c r="B226" s="18" t="inlineStr">
        <is>
          <t>SPE - CIDADE NOVA LTDA</t>
        </is>
      </c>
      <c r="C226" s="18" t="inlineStr">
        <is>
          <t>425</t>
        </is>
      </c>
      <c r="D226" s="18" t="inlineStr">
        <is>
          <t>ANDERSON PATUSSI</t>
        </is>
      </c>
      <c r="E226" s="25" t="inlineStr">
        <is>
          <t>QUADRA 71/LOTE 02</t>
        </is>
      </c>
      <c r="F226" s="52" t="inlineStr">
        <is>
          <t>ADIMPLENTE</t>
        </is>
      </c>
      <c r="G226" s="22" t="n">
        <v>416.67</v>
      </c>
      <c r="H226" s="20" t="n">
        <v>120</v>
      </c>
      <c r="I226" s="20" t="n">
        <v>11</v>
      </c>
      <c r="J226" s="21" t="n">
        <v>4646.18</v>
      </c>
      <c r="K226" s="44" t="n">
        <v>0</v>
      </c>
      <c r="L226" s="22" t="n">
        <v>0</v>
      </c>
      <c r="M226" s="22" t="n">
        <v>0</v>
      </c>
      <c r="N226" s="22" t="n">
        <v>0</v>
      </c>
      <c r="O226" s="22" t="n">
        <v>0</v>
      </c>
      <c r="P226" s="22" t="n">
        <v>0</v>
      </c>
      <c r="Q226" s="21" t="n">
        <v>0</v>
      </c>
      <c r="R226" s="20" t="n">
        <v>109</v>
      </c>
      <c r="S226" s="21" t="n">
        <v>45417.03</v>
      </c>
      <c r="T226" s="22" t="n">
        <v>50063.21</v>
      </c>
      <c r="U226" s="23" t="n">
        <v>0.092806</v>
      </c>
      <c r="V226" s="23" t="n">
        <v>0</v>
      </c>
      <c r="W226" s="23" t="n">
        <v>0.9071939999999999</v>
      </c>
      <c r="X226" s="40" t="n">
        <v>10</v>
      </c>
      <c r="Y226" s="18" t="n"/>
      <c r="Z226" s="18" t="inlineStr">
        <is>
          <t>NÃO</t>
        </is>
      </c>
    </row>
    <row r="227">
      <c r="A227" s="18" t="inlineStr">
        <is>
          <t>16/CIDAN</t>
        </is>
      </c>
      <c r="B227" s="18" t="inlineStr">
        <is>
          <t>SPE - CIDADE NOVA LTDA</t>
        </is>
      </c>
      <c r="C227" s="18" t="inlineStr">
        <is>
          <t>426</t>
        </is>
      </c>
      <c r="D227" s="18" t="inlineStr">
        <is>
          <t>PAULO JUNIOR EUZEBIO DA SILVA</t>
        </is>
      </c>
      <c r="E227" s="25" t="inlineStr">
        <is>
          <t>QUADRA 04/LOTE 03</t>
        </is>
      </c>
      <c r="F227" s="52" t="inlineStr">
        <is>
          <t>ADIMPLENTE</t>
        </is>
      </c>
      <c r="G227" s="22" t="n">
        <v>333.33</v>
      </c>
      <c r="H227" s="20" t="n">
        <v>120</v>
      </c>
      <c r="I227" s="20" t="n">
        <v>12</v>
      </c>
      <c r="J227" s="21" t="n">
        <v>4030.39</v>
      </c>
      <c r="K227" s="44" t="n">
        <v>0</v>
      </c>
      <c r="L227" s="22" t="n">
        <v>0</v>
      </c>
      <c r="M227" s="22" t="n">
        <v>0</v>
      </c>
      <c r="N227" s="22" t="n">
        <v>0</v>
      </c>
      <c r="O227" s="22" t="n">
        <v>0</v>
      </c>
      <c r="P227" s="22" t="n">
        <v>0</v>
      </c>
      <c r="Q227" s="21" t="n">
        <v>0</v>
      </c>
      <c r="R227" s="20" t="n">
        <v>108</v>
      </c>
      <c r="S227" s="21" t="n">
        <v>38972.88</v>
      </c>
      <c r="T227" s="22" t="n">
        <v>43003.27</v>
      </c>
      <c r="U227" s="23" t="n">
        <v>0.093723</v>
      </c>
      <c r="V227" s="23" t="n">
        <v>0</v>
      </c>
      <c r="W227" s="23" t="n">
        <v>0.906277</v>
      </c>
      <c r="X227" s="40" t="n">
        <v>25</v>
      </c>
      <c r="Y227" s="18" t="n"/>
      <c r="Z227" s="18" t="inlineStr">
        <is>
          <t>NÃO</t>
        </is>
      </c>
    </row>
    <row r="228">
      <c r="A228" s="18" t="inlineStr">
        <is>
          <t>16/CIDAN</t>
        </is>
      </c>
      <c r="B228" s="18" t="inlineStr">
        <is>
          <t>SPE - CIDADE NOVA LTDA</t>
        </is>
      </c>
      <c r="C228" s="18" t="inlineStr">
        <is>
          <t>427</t>
        </is>
      </c>
      <c r="D228" s="18" t="inlineStr">
        <is>
          <t>PAULO JUNIOR EUZEBIO DA SILVA</t>
        </is>
      </c>
      <c r="E228" s="25" t="inlineStr">
        <is>
          <t>QUADRA 04/LOTE 06</t>
        </is>
      </c>
      <c r="F228" s="52" t="inlineStr">
        <is>
          <t>ADIMPLENTE</t>
        </is>
      </c>
      <c r="G228" s="22" t="n">
        <v>333.33</v>
      </c>
      <c r="H228" s="20" t="n">
        <v>120</v>
      </c>
      <c r="I228" s="20" t="n">
        <v>12</v>
      </c>
      <c r="J228" s="21" t="n">
        <v>4030.39</v>
      </c>
      <c r="K228" s="44" t="n">
        <v>0</v>
      </c>
      <c r="L228" s="22" t="n">
        <v>0</v>
      </c>
      <c r="M228" s="22" t="n">
        <v>0</v>
      </c>
      <c r="N228" s="22" t="n">
        <v>0</v>
      </c>
      <c r="O228" s="22" t="n">
        <v>0</v>
      </c>
      <c r="P228" s="22" t="n">
        <v>0</v>
      </c>
      <c r="Q228" s="21" t="n">
        <v>0</v>
      </c>
      <c r="R228" s="20" t="n">
        <v>108</v>
      </c>
      <c r="S228" s="21" t="n">
        <v>38972.88</v>
      </c>
      <c r="T228" s="22" t="n">
        <v>43003.27</v>
      </c>
      <c r="U228" s="23" t="n">
        <v>0.093723</v>
      </c>
      <c r="V228" s="23" t="n">
        <v>0</v>
      </c>
      <c r="W228" s="23" t="n">
        <v>0.906277</v>
      </c>
      <c r="X228" s="40" t="n">
        <v>25</v>
      </c>
      <c r="Y228" s="18" t="n"/>
      <c r="Z228" s="18" t="inlineStr">
        <is>
          <t>NÃO</t>
        </is>
      </c>
    </row>
    <row r="229">
      <c r="A229" s="18" t="inlineStr">
        <is>
          <t>16/CIDAN</t>
        </is>
      </c>
      <c r="B229" s="18" t="inlineStr">
        <is>
          <t>SPE - CIDADE NOVA LTDA</t>
        </is>
      </c>
      <c r="C229" s="18" t="inlineStr">
        <is>
          <t>428</t>
        </is>
      </c>
      <c r="D229" s="18" t="inlineStr">
        <is>
          <t>PAULO JUNIOR EUZEBIO DA SILVA</t>
        </is>
      </c>
      <c r="E229" s="25" t="inlineStr">
        <is>
          <t>QUADRA 10/LOTE 07</t>
        </is>
      </c>
      <c r="F229" s="52" t="inlineStr">
        <is>
          <t>ADIMPLENTE</t>
        </is>
      </c>
      <c r="G229" s="22" t="n">
        <v>416.66</v>
      </c>
      <c r="H229" s="20" t="n">
        <v>120</v>
      </c>
      <c r="I229" s="20" t="n">
        <v>10</v>
      </c>
      <c r="J229" s="21" t="n">
        <v>4201.72</v>
      </c>
      <c r="K229" s="44" t="n">
        <v>0</v>
      </c>
      <c r="L229" s="22" t="n">
        <v>0</v>
      </c>
      <c r="M229" s="22" t="n">
        <v>0</v>
      </c>
      <c r="N229" s="22" t="n">
        <v>0</v>
      </c>
      <c r="O229" s="22" t="n">
        <v>0</v>
      </c>
      <c r="P229" s="22" t="n">
        <v>0</v>
      </c>
      <c r="Q229" s="21" t="n">
        <v>0</v>
      </c>
      <c r="R229" s="20" t="n">
        <v>110</v>
      </c>
      <c r="S229" s="21" t="n">
        <v>45832.60000000001</v>
      </c>
      <c r="T229" s="22" t="n">
        <v>50034.32</v>
      </c>
      <c r="U229" s="23" t="n">
        <v>0.083977</v>
      </c>
      <c r="V229" s="23" t="n">
        <v>0</v>
      </c>
      <c r="W229" s="23" t="n">
        <v>0.916023</v>
      </c>
      <c r="X229" s="40" t="n">
        <v>25</v>
      </c>
      <c r="Y229" s="18" t="n"/>
      <c r="Z229" s="18" t="inlineStr">
        <is>
          <t>NÃO</t>
        </is>
      </c>
    </row>
    <row r="230">
      <c r="A230" s="18" t="inlineStr">
        <is>
          <t>16/CIDAN</t>
        </is>
      </c>
      <c r="B230" s="18" t="inlineStr">
        <is>
          <t>SPE - CIDADE NOVA LTDA</t>
        </is>
      </c>
      <c r="C230" s="18" t="inlineStr">
        <is>
          <t>429</t>
        </is>
      </c>
      <c r="D230" s="18" t="inlineStr">
        <is>
          <t>PAULO JUNIOR EUZEBIO DA SILVA</t>
        </is>
      </c>
      <c r="E230" s="25" t="inlineStr">
        <is>
          <t>QUADRA 10/LOTE 08</t>
        </is>
      </c>
      <c r="F230" s="52" t="inlineStr">
        <is>
          <t>ADIMPLENTE</t>
        </is>
      </c>
      <c r="G230" s="22" t="n">
        <v>416.66</v>
      </c>
      <c r="H230" s="20" t="n">
        <v>120</v>
      </c>
      <c r="I230" s="20" t="n">
        <v>10</v>
      </c>
      <c r="J230" s="21" t="n">
        <v>4196.52</v>
      </c>
      <c r="K230" s="44" t="n">
        <v>0</v>
      </c>
      <c r="L230" s="22" t="n">
        <v>0</v>
      </c>
      <c r="M230" s="22" t="n">
        <v>0</v>
      </c>
      <c r="N230" s="22" t="n">
        <v>0</v>
      </c>
      <c r="O230" s="22" t="n">
        <v>0</v>
      </c>
      <c r="P230" s="22" t="n">
        <v>0</v>
      </c>
      <c r="Q230" s="21" t="n">
        <v>0</v>
      </c>
      <c r="R230" s="20" t="n">
        <v>110</v>
      </c>
      <c r="S230" s="21" t="n">
        <v>45832.60000000001</v>
      </c>
      <c r="T230" s="22" t="n">
        <v>50029.12</v>
      </c>
      <c r="U230" s="23" t="n">
        <v>0.083882</v>
      </c>
      <c r="V230" s="23" t="n">
        <v>0</v>
      </c>
      <c r="W230" s="23" t="n">
        <v>0.916118</v>
      </c>
      <c r="X230" s="40" t="n">
        <v>25</v>
      </c>
      <c r="Y230" s="18" t="n"/>
      <c r="Z230" s="18" t="inlineStr">
        <is>
          <t>NÃO</t>
        </is>
      </c>
    </row>
    <row r="231">
      <c r="A231" s="18" t="inlineStr">
        <is>
          <t>16/CIDAN</t>
        </is>
      </c>
      <c r="B231" s="18" t="inlineStr">
        <is>
          <t>SPE - CIDADE NOVA LTDA</t>
        </is>
      </c>
      <c r="C231" s="18" t="inlineStr">
        <is>
          <t>44</t>
        </is>
      </c>
      <c r="D231" s="18" t="inlineStr">
        <is>
          <t>DIOMAR ELIAS DA SILVA</t>
        </is>
      </c>
      <c r="E231" s="25" t="inlineStr">
        <is>
          <t>QUADRA 14/LOTE 01</t>
        </is>
      </c>
      <c r="F231" s="43" t="inlineStr">
        <is>
          <t>QUITADO</t>
        </is>
      </c>
      <c r="G231" s="22" t="n">
        <v>0</v>
      </c>
      <c r="H231" s="20" t="n">
        <v>178</v>
      </c>
      <c r="I231" s="20" t="n">
        <v>11</v>
      </c>
      <c r="J231" s="21" t="n">
        <v>1950.18</v>
      </c>
      <c r="K231" s="44" t="n">
        <v>0</v>
      </c>
      <c r="L231" s="22" t="n">
        <v>0</v>
      </c>
      <c r="M231" s="22" t="n">
        <v>0</v>
      </c>
      <c r="N231" s="22" t="n">
        <v>0</v>
      </c>
      <c r="O231" s="22" t="n">
        <v>0</v>
      </c>
      <c r="P231" s="22" t="n">
        <v>0</v>
      </c>
      <c r="Q231" s="21" t="n">
        <v>0</v>
      </c>
      <c r="R231" s="20" t="n">
        <v>0</v>
      </c>
      <c r="S231" s="21" t="n">
        <v>0</v>
      </c>
      <c r="T231" s="22" t="n">
        <v>1950.18</v>
      </c>
      <c r="U231" s="23" t="n">
        <v>1</v>
      </c>
      <c r="V231" s="23" t="n">
        <v>0</v>
      </c>
      <c r="W231" s="23" t="n">
        <v>0</v>
      </c>
      <c r="X231" s="40" t="n"/>
      <c r="Y231" s="18" t="n"/>
      <c r="Z231" s="18" t="inlineStr">
        <is>
          <t>NÃO</t>
        </is>
      </c>
    </row>
    <row r="232">
      <c r="A232" s="18" t="inlineStr">
        <is>
          <t>16/CIDAN</t>
        </is>
      </c>
      <c r="B232" s="18" t="inlineStr">
        <is>
          <t>SPE - CIDADE NOVA LTDA</t>
        </is>
      </c>
      <c r="C232" s="18" t="inlineStr">
        <is>
          <t>45</t>
        </is>
      </c>
      <c r="D232" s="18" t="inlineStr">
        <is>
          <t>PAULO JOSE ROCHA BEZERRA</t>
        </is>
      </c>
      <c r="E232" s="25" t="inlineStr">
        <is>
          <t>QUADRA 11/LOTE 18</t>
        </is>
      </c>
      <c r="F232" s="43" t="inlineStr">
        <is>
          <t>QUITADO</t>
        </is>
      </c>
      <c r="G232" s="22" t="n">
        <v>0</v>
      </c>
      <c r="H232" s="20" t="n">
        <v>178</v>
      </c>
      <c r="I232" s="20" t="n">
        <v>7</v>
      </c>
      <c r="J232" s="21" t="n">
        <v>1250.77</v>
      </c>
      <c r="K232" s="44" t="n">
        <v>0</v>
      </c>
      <c r="L232" s="22" t="n">
        <v>0</v>
      </c>
      <c r="M232" s="22" t="n">
        <v>0</v>
      </c>
      <c r="N232" s="22" t="n">
        <v>0</v>
      </c>
      <c r="O232" s="22" t="n">
        <v>0</v>
      </c>
      <c r="P232" s="22" t="n">
        <v>0</v>
      </c>
      <c r="Q232" s="21" t="n">
        <v>0</v>
      </c>
      <c r="R232" s="20" t="n">
        <v>0</v>
      </c>
      <c r="S232" s="21" t="n">
        <v>0</v>
      </c>
      <c r="T232" s="22" t="n">
        <v>1250.77</v>
      </c>
      <c r="U232" s="23" t="n">
        <v>1</v>
      </c>
      <c r="V232" s="23" t="n">
        <v>0</v>
      </c>
      <c r="W232" s="23" t="n">
        <v>0</v>
      </c>
      <c r="X232" s="40" t="n"/>
      <c r="Y232" s="18" t="n"/>
      <c r="Z232" s="18" t="inlineStr">
        <is>
          <t>NÃO</t>
        </is>
      </c>
    </row>
    <row r="233">
      <c r="A233" s="18" t="inlineStr">
        <is>
          <t>16/CIDAN</t>
        </is>
      </c>
      <c r="B233" s="18" t="inlineStr">
        <is>
          <t>SPE - CIDADE NOVA LTDA</t>
        </is>
      </c>
      <c r="C233" s="18" t="inlineStr">
        <is>
          <t>46</t>
        </is>
      </c>
      <c r="D233" s="18" t="inlineStr">
        <is>
          <t>ANTONIA CARDOSO COSTA</t>
        </is>
      </c>
      <c r="E233" s="25" t="inlineStr">
        <is>
          <t>QUADRA 13/LOTE 04</t>
        </is>
      </c>
      <c r="F233" s="43" t="inlineStr">
        <is>
          <t>QUITADO</t>
        </is>
      </c>
      <c r="G233" s="22" t="n">
        <v>0</v>
      </c>
      <c r="H233" s="20" t="n">
        <v>178</v>
      </c>
      <c r="I233" s="20" t="n">
        <v>78</v>
      </c>
      <c r="J233" s="21" t="n">
        <v>20343.4</v>
      </c>
      <c r="K233" s="44" t="n">
        <v>0</v>
      </c>
      <c r="L233" s="22" t="n">
        <v>0</v>
      </c>
      <c r="M233" s="22" t="n">
        <v>0</v>
      </c>
      <c r="N233" s="22" t="n">
        <v>0</v>
      </c>
      <c r="O233" s="22" t="n">
        <v>0</v>
      </c>
      <c r="P233" s="22" t="n">
        <v>0</v>
      </c>
      <c r="Q233" s="21" t="n">
        <v>0</v>
      </c>
      <c r="R233" s="20" t="n">
        <v>0</v>
      </c>
      <c r="S233" s="21" t="n">
        <v>0</v>
      </c>
      <c r="T233" s="22" t="n">
        <v>20343.4</v>
      </c>
      <c r="U233" s="23" t="n">
        <v>1</v>
      </c>
      <c r="V233" s="23" t="n">
        <v>0</v>
      </c>
      <c r="W233" s="23" t="n">
        <v>0</v>
      </c>
      <c r="X233" s="40" t="n"/>
      <c r="Y233" s="18" t="n"/>
      <c r="Z233" s="18" t="inlineStr">
        <is>
          <t>NÃO</t>
        </is>
      </c>
    </row>
    <row r="234">
      <c r="A234" s="18" t="inlineStr">
        <is>
          <t>16/CIDAN</t>
        </is>
      </c>
      <c r="B234" s="18" t="inlineStr">
        <is>
          <t>SPE - CIDADE NOVA LTDA</t>
        </is>
      </c>
      <c r="C234" s="18" t="inlineStr">
        <is>
          <t>48</t>
        </is>
      </c>
      <c r="D234" s="18" t="inlineStr">
        <is>
          <t>OSMAR PALOCO</t>
        </is>
      </c>
      <c r="E234" s="25" t="inlineStr">
        <is>
          <t>QUADRA 02/LOTE 23</t>
        </is>
      </c>
      <c r="F234" s="43" t="inlineStr">
        <is>
          <t>QUITADO</t>
        </is>
      </c>
      <c r="G234" s="22" t="n">
        <v>0</v>
      </c>
      <c r="H234" s="20" t="n">
        <v>178</v>
      </c>
      <c r="I234" s="20" t="n">
        <v>27</v>
      </c>
      <c r="J234" s="21" t="n">
        <v>4952.37</v>
      </c>
      <c r="K234" s="44" t="n">
        <v>0</v>
      </c>
      <c r="L234" s="22" t="n">
        <v>0</v>
      </c>
      <c r="M234" s="22" t="n">
        <v>0</v>
      </c>
      <c r="N234" s="22" t="n">
        <v>0</v>
      </c>
      <c r="O234" s="22" t="n">
        <v>0</v>
      </c>
      <c r="P234" s="22" t="n">
        <v>0</v>
      </c>
      <c r="Q234" s="21" t="n">
        <v>0</v>
      </c>
      <c r="R234" s="20" t="n">
        <v>0</v>
      </c>
      <c r="S234" s="21" t="n">
        <v>0</v>
      </c>
      <c r="T234" s="22" t="n">
        <v>4952.37</v>
      </c>
      <c r="U234" s="23" t="n">
        <v>1</v>
      </c>
      <c r="V234" s="23" t="n">
        <v>0</v>
      </c>
      <c r="W234" s="23" t="n">
        <v>0</v>
      </c>
      <c r="X234" s="40" t="n"/>
      <c r="Y234" s="18" t="n"/>
      <c r="Z234" s="18" t="inlineStr">
        <is>
          <t>NÃO</t>
        </is>
      </c>
    </row>
    <row r="235">
      <c r="A235" s="18" t="inlineStr">
        <is>
          <t>16/CIDAN</t>
        </is>
      </c>
      <c r="B235" s="18" t="inlineStr">
        <is>
          <t>SPE - CIDADE NOVA LTDA</t>
        </is>
      </c>
      <c r="C235" s="18" t="inlineStr">
        <is>
          <t>50</t>
        </is>
      </c>
      <c r="D235" s="18" t="inlineStr">
        <is>
          <t>DIEGO DOS REIS ALVES</t>
        </is>
      </c>
      <c r="E235" s="25" t="inlineStr">
        <is>
          <t>QUADRA 03/LOTE 12</t>
        </is>
      </c>
      <c r="F235" s="43" t="inlineStr">
        <is>
          <t>QUITADO</t>
        </is>
      </c>
      <c r="G235" s="22" t="n">
        <v>0</v>
      </c>
      <c r="H235" s="20" t="n">
        <v>178</v>
      </c>
      <c r="I235" s="20" t="n">
        <v>40</v>
      </c>
      <c r="J235" s="21" t="n">
        <v>20185.92</v>
      </c>
      <c r="K235" s="44" t="n">
        <v>0</v>
      </c>
      <c r="L235" s="22" t="n">
        <v>0</v>
      </c>
      <c r="M235" s="22" t="n">
        <v>0</v>
      </c>
      <c r="N235" s="22" t="n">
        <v>0</v>
      </c>
      <c r="O235" s="22" t="n">
        <v>0</v>
      </c>
      <c r="P235" s="22" t="n">
        <v>0</v>
      </c>
      <c r="Q235" s="21" t="n">
        <v>0</v>
      </c>
      <c r="R235" s="20" t="n">
        <v>0</v>
      </c>
      <c r="S235" s="21" t="n">
        <v>0</v>
      </c>
      <c r="T235" s="22" t="n">
        <v>20185.92</v>
      </c>
      <c r="U235" s="23" t="n">
        <v>1</v>
      </c>
      <c r="V235" s="23" t="n">
        <v>0</v>
      </c>
      <c r="W235" s="23" t="n">
        <v>0</v>
      </c>
      <c r="X235" s="40" t="n"/>
      <c r="Y235" s="18" t="n"/>
      <c r="Z235" s="18" t="inlineStr">
        <is>
          <t>NÃO</t>
        </is>
      </c>
    </row>
    <row r="236">
      <c r="A236" s="18" t="inlineStr">
        <is>
          <t>16/CIDAN</t>
        </is>
      </c>
      <c r="B236" s="18" t="inlineStr">
        <is>
          <t>SPE - CIDADE NOVA LTDA</t>
        </is>
      </c>
      <c r="C236" s="18" t="inlineStr">
        <is>
          <t>51</t>
        </is>
      </c>
      <c r="D236" s="18" t="inlineStr">
        <is>
          <t>DIEGO DOS REIS ALVES</t>
        </is>
      </c>
      <c r="E236" s="25" t="inlineStr">
        <is>
          <t>QUADRA 03/LOTE 13</t>
        </is>
      </c>
      <c r="F236" s="43" t="inlineStr">
        <is>
          <t>QUITADO</t>
        </is>
      </c>
      <c r="G236" s="22" t="n">
        <v>0</v>
      </c>
      <c r="H236" s="20" t="n">
        <v>178</v>
      </c>
      <c r="I236" s="20" t="n">
        <v>41</v>
      </c>
      <c r="J236" s="21" t="n">
        <v>20557.19</v>
      </c>
      <c r="K236" s="44" t="n">
        <v>0</v>
      </c>
      <c r="L236" s="22" t="n">
        <v>0</v>
      </c>
      <c r="M236" s="22" t="n">
        <v>0</v>
      </c>
      <c r="N236" s="22" t="n">
        <v>0</v>
      </c>
      <c r="O236" s="22" t="n">
        <v>0</v>
      </c>
      <c r="P236" s="22" t="n">
        <v>0</v>
      </c>
      <c r="Q236" s="21" t="n">
        <v>0</v>
      </c>
      <c r="R236" s="20" t="n">
        <v>0</v>
      </c>
      <c r="S236" s="21" t="n">
        <v>0</v>
      </c>
      <c r="T236" s="22" t="n">
        <v>20557.19</v>
      </c>
      <c r="U236" s="23" t="n">
        <v>1</v>
      </c>
      <c r="V236" s="23" t="n">
        <v>0</v>
      </c>
      <c r="W236" s="23" t="n">
        <v>0</v>
      </c>
      <c r="X236" s="40" t="n"/>
      <c r="Y236" s="18" t="n"/>
      <c r="Z236" s="18" t="inlineStr">
        <is>
          <t>NÃO</t>
        </is>
      </c>
    </row>
    <row r="237">
      <c r="A237" s="18" t="inlineStr">
        <is>
          <t>16/CIDAN</t>
        </is>
      </c>
      <c r="B237" s="18" t="inlineStr">
        <is>
          <t>SPE - CIDADE NOVA LTDA</t>
        </is>
      </c>
      <c r="C237" s="18" t="inlineStr">
        <is>
          <t>53</t>
        </is>
      </c>
      <c r="D237" s="18" t="inlineStr">
        <is>
          <t>ROMERITO DA SILVA VIEIRA</t>
        </is>
      </c>
      <c r="E237" s="25" t="inlineStr">
        <is>
          <t>QUADRA 07/LOTE 16</t>
        </is>
      </c>
      <c r="F237" s="43" t="inlineStr">
        <is>
          <t>QUITADO</t>
        </is>
      </c>
      <c r="G237" s="22" t="n">
        <v>0</v>
      </c>
      <c r="H237" s="20" t="n">
        <v>178</v>
      </c>
      <c r="I237" s="20" t="n">
        <v>36</v>
      </c>
      <c r="J237" s="21" t="n">
        <v>6919.13</v>
      </c>
      <c r="K237" s="44" t="n">
        <v>0</v>
      </c>
      <c r="L237" s="22" t="n">
        <v>0</v>
      </c>
      <c r="M237" s="22" t="n">
        <v>0</v>
      </c>
      <c r="N237" s="22" t="n">
        <v>0</v>
      </c>
      <c r="O237" s="22" t="n">
        <v>0</v>
      </c>
      <c r="P237" s="22" t="n">
        <v>0</v>
      </c>
      <c r="Q237" s="21" t="n">
        <v>0</v>
      </c>
      <c r="R237" s="20" t="n">
        <v>0</v>
      </c>
      <c r="S237" s="21" t="n">
        <v>0</v>
      </c>
      <c r="T237" s="22" t="n">
        <v>6919.13</v>
      </c>
      <c r="U237" s="23" t="n">
        <v>1</v>
      </c>
      <c r="V237" s="23" t="n">
        <v>0</v>
      </c>
      <c r="W237" s="23" t="n">
        <v>0</v>
      </c>
      <c r="X237" s="40" t="n"/>
      <c r="Y237" s="18" t="n"/>
      <c r="Z237" s="18" t="inlineStr">
        <is>
          <t>NÃO</t>
        </is>
      </c>
    </row>
    <row r="238">
      <c r="A238" s="18" t="inlineStr">
        <is>
          <t>16/CIDAN</t>
        </is>
      </c>
      <c r="B238" s="18" t="inlineStr">
        <is>
          <t>SPE - CIDADE NOVA LTDA</t>
        </is>
      </c>
      <c r="C238" s="18" t="inlineStr">
        <is>
          <t>55</t>
        </is>
      </c>
      <c r="D238" s="18" t="inlineStr">
        <is>
          <t>DAVID BARROS DE ARAUJO</t>
        </is>
      </c>
      <c r="E238" s="25" t="inlineStr">
        <is>
          <t>QUADRA 06/LOTE 15</t>
        </is>
      </c>
      <c r="F238" s="43" t="inlineStr">
        <is>
          <t>QUITADO</t>
        </is>
      </c>
      <c r="G238" s="22" t="n">
        <v>0</v>
      </c>
      <c r="H238" s="20" t="n">
        <v>178</v>
      </c>
      <c r="I238" s="20" t="n">
        <v>11</v>
      </c>
      <c r="J238" s="21" t="n">
        <v>1992.87</v>
      </c>
      <c r="K238" s="44" t="n">
        <v>0</v>
      </c>
      <c r="L238" s="22" t="n">
        <v>0</v>
      </c>
      <c r="M238" s="22" t="n">
        <v>0</v>
      </c>
      <c r="N238" s="22" t="n">
        <v>0</v>
      </c>
      <c r="O238" s="22" t="n">
        <v>0</v>
      </c>
      <c r="P238" s="22" t="n">
        <v>0</v>
      </c>
      <c r="Q238" s="21" t="n">
        <v>0</v>
      </c>
      <c r="R238" s="20" t="n">
        <v>0</v>
      </c>
      <c r="S238" s="21" t="n">
        <v>0</v>
      </c>
      <c r="T238" s="22" t="n">
        <v>1992.87</v>
      </c>
      <c r="U238" s="23" t="n">
        <v>1</v>
      </c>
      <c r="V238" s="23" t="n">
        <v>0</v>
      </c>
      <c r="W238" s="23" t="n">
        <v>0</v>
      </c>
      <c r="X238" s="40" t="n"/>
      <c r="Y238" s="18" t="n"/>
      <c r="Z238" s="18" t="inlineStr">
        <is>
          <t>NÃO</t>
        </is>
      </c>
    </row>
    <row r="239">
      <c r="A239" s="18" t="inlineStr">
        <is>
          <t>16/CIDAN</t>
        </is>
      </c>
      <c r="B239" s="18" t="inlineStr">
        <is>
          <t>SPE - CIDADE NOVA LTDA</t>
        </is>
      </c>
      <c r="C239" s="18" t="inlineStr">
        <is>
          <t>56</t>
        </is>
      </c>
      <c r="D239" s="18" t="inlineStr">
        <is>
          <t>DIOMAR ELIAS DA SILVA</t>
        </is>
      </c>
      <c r="E239" s="25" t="inlineStr">
        <is>
          <t>QUADRA 14/LOTE 02</t>
        </is>
      </c>
      <c r="F239" s="43" t="inlineStr">
        <is>
          <t>QUITADO</t>
        </is>
      </c>
      <c r="G239" s="22" t="n">
        <v>0</v>
      </c>
      <c r="H239" s="20" t="n">
        <v>178</v>
      </c>
      <c r="I239" s="20" t="n">
        <v>11</v>
      </c>
      <c r="J239" s="21" t="n">
        <v>1984.67</v>
      </c>
      <c r="K239" s="44" t="n">
        <v>0</v>
      </c>
      <c r="L239" s="22" t="n">
        <v>0</v>
      </c>
      <c r="M239" s="22" t="n">
        <v>0</v>
      </c>
      <c r="N239" s="22" t="n">
        <v>0</v>
      </c>
      <c r="O239" s="22" t="n">
        <v>0</v>
      </c>
      <c r="P239" s="22" t="n">
        <v>0</v>
      </c>
      <c r="Q239" s="21" t="n">
        <v>0</v>
      </c>
      <c r="R239" s="20" t="n">
        <v>0</v>
      </c>
      <c r="S239" s="21" t="n">
        <v>0</v>
      </c>
      <c r="T239" s="22" t="n">
        <v>1984.67</v>
      </c>
      <c r="U239" s="23" t="n">
        <v>1</v>
      </c>
      <c r="V239" s="23" t="n">
        <v>0</v>
      </c>
      <c r="W239" s="23" t="n">
        <v>0</v>
      </c>
      <c r="X239" s="40" t="n"/>
      <c r="Y239" s="18" t="n"/>
      <c r="Z239" s="18" t="inlineStr">
        <is>
          <t>NÃO</t>
        </is>
      </c>
    </row>
    <row r="240">
      <c r="A240" s="18" t="inlineStr">
        <is>
          <t>16/CIDAN</t>
        </is>
      </c>
      <c r="B240" s="18" t="inlineStr">
        <is>
          <t>SPE - CIDADE NOVA LTDA</t>
        </is>
      </c>
      <c r="C240" s="18" t="inlineStr">
        <is>
          <t>57</t>
        </is>
      </c>
      <c r="D240" s="18" t="inlineStr">
        <is>
          <t>ANDRE DE SOUZA SILVA</t>
        </is>
      </c>
      <c r="E240" s="25" t="inlineStr">
        <is>
          <t>QUADRA 06/LOTE 17</t>
        </is>
      </c>
      <c r="F240" s="43" t="inlineStr">
        <is>
          <t>QUITADO</t>
        </is>
      </c>
      <c r="G240" s="22" t="n">
        <v>0</v>
      </c>
      <c r="H240" s="20" t="n">
        <v>178</v>
      </c>
      <c r="I240" s="20" t="n">
        <v>7</v>
      </c>
      <c r="J240" s="21" t="n">
        <v>1464.9</v>
      </c>
      <c r="K240" s="44" t="n">
        <v>0</v>
      </c>
      <c r="L240" s="22" t="n">
        <v>0</v>
      </c>
      <c r="M240" s="22" t="n">
        <v>0</v>
      </c>
      <c r="N240" s="22" t="n">
        <v>0</v>
      </c>
      <c r="O240" s="22" t="n">
        <v>0</v>
      </c>
      <c r="P240" s="22" t="n">
        <v>0</v>
      </c>
      <c r="Q240" s="21" t="n">
        <v>0</v>
      </c>
      <c r="R240" s="20" t="n">
        <v>0</v>
      </c>
      <c r="S240" s="21" t="n">
        <v>0</v>
      </c>
      <c r="T240" s="22" t="n">
        <v>1464.9</v>
      </c>
      <c r="U240" s="23" t="n">
        <v>1</v>
      </c>
      <c r="V240" s="23" t="n">
        <v>0</v>
      </c>
      <c r="W240" s="23" t="n">
        <v>0</v>
      </c>
      <c r="X240" s="40" t="n"/>
      <c r="Y240" s="18" t="n"/>
      <c r="Z240" s="18" t="inlineStr">
        <is>
          <t>NÃO</t>
        </is>
      </c>
    </row>
    <row r="241">
      <c r="A241" s="18" t="inlineStr">
        <is>
          <t>16/CIDAN</t>
        </is>
      </c>
      <c r="B241" s="18" t="inlineStr">
        <is>
          <t>SPE - CIDADE NOVA LTDA</t>
        </is>
      </c>
      <c r="C241" s="18" t="inlineStr">
        <is>
          <t>59</t>
        </is>
      </c>
      <c r="D241" s="18" t="inlineStr">
        <is>
          <t>DANIEL MOURA DE CASTRO</t>
        </is>
      </c>
      <c r="E241" s="25" t="inlineStr">
        <is>
          <t>QUADRA 02/LOTE 11</t>
        </is>
      </c>
      <c r="F241" s="43" t="inlineStr">
        <is>
          <t>QUITADO</t>
        </is>
      </c>
      <c r="G241" s="22" t="n">
        <v>0</v>
      </c>
      <c r="H241" s="20" t="n">
        <v>178</v>
      </c>
      <c r="I241" s="20" t="n">
        <v>6</v>
      </c>
      <c r="J241" s="21" t="n">
        <v>1798.59</v>
      </c>
      <c r="K241" s="44" t="n">
        <v>0</v>
      </c>
      <c r="L241" s="22" t="n">
        <v>0</v>
      </c>
      <c r="M241" s="22" t="n">
        <v>0</v>
      </c>
      <c r="N241" s="22" t="n">
        <v>0</v>
      </c>
      <c r="O241" s="22" t="n">
        <v>0</v>
      </c>
      <c r="P241" s="22" t="n">
        <v>0</v>
      </c>
      <c r="Q241" s="21" t="n">
        <v>0</v>
      </c>
      <c r="R241" s="20" t="n">
        <v>0</v>
      </c>
      <c r="S241" s="21" t="n">
        <v>0</v>
      </c>
      <c r="T241" s="22" t="n">
        <v>1798.59</v>
      </c>
      <c r="U241" s="23" t="n">
        <v>1</v>
      </c>
      <c r="V241" s="23" t="n">
        <v>0</v>
      </c>
      <c r="W241" s="23" t="n">
        <v>0</v>
      </c>
      <c r="X241" s="40" t="n"/>
      <c r="Y241" s="18" t="n"/>
      <c r="Z241" s="18" t="inlineStr">
        <is>
          <t>NÃO</t>
        </is>
      </c>
    </row>
    <row r="242">
      <c r="A242" s="18" t="inlineStr">
        <is>
          <t>16/CIDAN</t>
        </is>
      </c>
      <c r="B242" s="18" t="inlineStr">
        <is>
          <t>SPE - CIDADE NOVA LTDA</t>
        </is>
      </c>
      <c r="C242" s="18" t="inlineStr">
        <is>
          <t>65</t>
        </is>
      </c>
      <c r="D242" s="18" t="inlineStr">
        <is>
          <t>NILSON ALVES DA SILVA</t>
        </is>
      </c>
      <c r="E242" s="25" t="inlineStr">
        <is>
          <t>QUADRA 39/LOTE 18</t>
        </is>
      </c>
      <c r="F242" s="43" t="inlineStr">
        <is>
          <t>QUITADO</t>
        </is>
      </c>
      <c r="G242" s="22" t="n">
        <v>0</v>
      </c>
      <c r="H242" s="20" t="n">
        <v>178</v>
      </c>
      <c r="I242" s="20" t="n">
        <v>6</v>
      </c>
      <c r="J242" s="21" t="n">
        <v>1201.3</v>
      </c>
      <c r="K242" s="44" t="n">
        <v>0</v>
      </c>
      <c r="L242" s="22" t="n">
        <v>0</v>
      </c>
      <c r="M242" s="22" t="n">
        <v>0</v>
      </c>
      <c r="N242" s="22" t="n">
        <v>0</v>
      </c>
      <c r="O242" s="22" t="n">
        <v>0</v>
      </c>
      <c r="P242" s="22" t="n">
        <v>0</v>
      </c>
      <c r="Q242" s="21" t="n">
        <v>0</v>
      </c>
      <c r="R242" s="20" t="n">
        <v>0</v>
      </c>
      <c r="S242" s="21" t="n">
        <v>0</v>
      </c>
      <c r="T242" s="22" t="n">
        <v>1201.3</v>
      </c>
      <c r="U242" s="23" t="n">
        <v>1</v>
      </c>
      <c r="V242" s="23" t="n">
        <v>0</v>
      </c>
      <c r="W242" s="23" t="n">
        <v>0</v>
      </c>
      <c r="X242" s="40" t="n"/>
      <c r="Y242" s="18" t="n"/>
      <c r="Z242" s="18" t="inlineStr">
        <is>
          <t>NÃO</t>
        </is>
      </c>
    </row>
    <row r="243">
      <c r="A243" s="18" t="inlineStr">
        <is>
          <t>16/CIDAN</t>
        </is>
      </c>
      <c r="B243" s="18" t="inlineStr">
        <is>
          <t>SPE - CIDADE NOVA LTDA</t>
        </is>
      </c>
      <c r="C243" s="18" t="inlineStr">
        <is>
          <t>71</t>
        </is>
      </c>
      <c r="D243" s="18" t="inlineStr">
        <is>
          <t>EDIVAN PEREIRA DOS SANTOS</t>
        </is>
      </c>
      <c r="E243" s="25" t="inlineStr">
        <is>
          <t>QUADRA 01/LOTE 23</t>
        </is>
      </c>
      <c r="F243" s="43" t="inlineStr">
        <is>
          <t>QUITADO</t>
        </is>
      </c>
      <c r="G243" s="22" t="n">
        <v>0</v>
      </c>
      <c r="H243" s="20" t="n">
        <v>178</v>
      </c>
      <c r="I243" s="20" t="n">
        <v>14</v>
      </c>
      <c r="J243" s="21" t="n">
        <v>2456.16</v>
      </c>
      <c r="K243" s="44" t="n">
        <v>0</v>
      </c>
      <c r="L243" s="22" t="n">
        <v>0</v>
      </c>
      <c r="M243" s="22" t="n">
        <v>0</v>
      </c>
      <c r="N243" s="22" t="n">
        <v>0</v>
      </c>
      <c r="O243" s="22" t="n">
        <v>0</v>
      </c>
      <c r="P243" s="22" t="n">
        <v>0</v>
      </c>
      <c r="Q243" s="21" t="n">
        <v>0</v>
      </c>
      <c r="R243" s="20" t="n">
        <v>0</v>
      </c>
      <c r="S243" s="21" t="n">
        <v>0</v>
      </c>
      <c r="T243" s="22" t="n">
        <v>2456.16</v>
      </c>
      <c r="U243" s="23" t="n">
        <v>1</v>
      </c>
      <c r="V243" s="23" t="n">
        <v>0</v>
      </c>
      <c r="W243" s="23" t="n">
        <v>0</v>
      </c>
      <c r="X243" s="40" t="n"/>
      <c r="Y243" s="18" t="n"/>
      <c r="Z243" s="18" t="inlineStr">
        <is>
          <t>NÃO</t>
        </is>
      </c>
    </row>
    <row r="244">
      <c r="A244" s="18" t="inlineStr">
        <is>
          <t>16/CIDAN</t>
        </is>
      </c>
      <c r="B244" s="18" t="inlineStr">
        <is>
          <t>SPE - CIDADE NOVA LTDA</t>
        </is>
      </c>
      <c r="C244" s="18" t="inlineStr">
        <is>
          <t>72</t>
        </is>
      </c>
      <c r="D244" s="18" t="inlineStr">
        <is>
          <t>EDIVAN PEREIRA DOS SANTOS</t>
        </is>
      </c>
      <c r="E244" s="25" t="inlineStr">
        <is>
          <t>QUADRA 01/LOTE 24</t>
        </is>
      </c>
      <c r="F244" s="43" t="inlineStr">
        <is>
          <t>QUITADO</t>
        </is>
      </c>
      <c r="G244" s="22" t="n">
        <v>0</v>
      </c>
      <c r="H244" s="20" t="n">
        <v>178</v>
      </c>
      <c r="I244" s="20" t="n">
        <v>14</v>
      </c>
      <c r="J244" s="21" t="n">
        <v>2456.16</v>
      </c>
      <c r="K244" s="44" t="n">
        <v>0</v>
      </c>
      <c r="L244" s="22" t="n">
        <v>0</v>
      </c>
      <c r="M244" s="22" t="n">
        <v>0</v>
      </c>
      <c r="N244" s="22" t="n">
        <v>0</v>
      </c>
      <c r="O244" s="22" t="n">
        <v>0</v>
      </c>
      <c r="P244" s="22" t="n">
        <v>0</v>
      </c>
      <c r="Q244" s="21" t="n">
        <v>0</v>
      </c>
      <c r="R244" s="20" t="n">
        <v>0</v>
      </c>
      <c r="S244" s="21" t="n">
        <v>0</v>
      </c>
      <c r="T244" s="22" t="n">
        <v>2456.16</v>
      </c>
      <c r="U244" s="23" t="n">
        <v>1</v>
      </c>
      <c r="V244" s="23" t="n">
        <v>0</v>
      </c>
      <c r="W244" s="23" t="n">
        <v>0</v>
      </c>
      <c r="X244" s="40" t="n"/>
      <c r="Y244" s="18" t="n"/>
      <c r="Z244" s="18" t="inlineStr">
        <is>
          <t>NÃO</t>
        </is>
      </c>
    </row>
    <row r="245">
      <c r="A245" s="18" t="inlineStr">
        <is>
          <t>16/CIDAN</t>
        </is>
      </c>
      <c r="B245" s="18" t="inlineStr">
        <is>
          <t>SPE - CIDADE NOVA LTDA</t>
        </is>
      </c>
      <c r="C245" s="18" t="inlineStr">
        <is>
          <t>73</t>
        </is>
      </c>
      <c r="D245" s="18" t="inlineStr">
        <is>
          <t>JOSE PEREIRA DOS SANTOS</t>
        </is>
      </c>
      <c r="E245" s="25" t="inlineStr">
        <is>
          <t>QUADRA 01/LOTE 32</t>
        </is>
      </c>
      <c r="F245" s="43" t="inlineStr">
        <is>
          <t>QUITADO</t>
        </is>
      </c>
      <c r="G245" s="22" t="n">
        <v>0</v>
      </c>
      <c r="H245" s="20" t="n">
        <v>178</v>
      </c>
      <c r="I245" s="20" t="n">
        <v>1</v>
      </c>
      <c r="J245" s="21" t="n">
        <v>173.61</v>
      </c>
      <c r="K245" s="44" t="n">
        <v>0</v>
      </c>
      <c r="L245" s="22" t="n">
        <v>0</v>
      </c>
      <c r="M245" s="22" t="n">
        <v>0</v>
      </c>
      <c r="N245" s="22" t="n">
        <v>0</v>
      </c>
      <c r="O245" s="22" t="n">
        <v>0</v>
      </c>
      <c r="P245" s="22" t="n">
        <v>0</v>
      </c>
      <c r="Q245" s="21" t="n">
        <v>0</v>
      </c>
      <c r="R245" s="20" t="n">
        <v>0</v>
      </c>
      <c r="S245" s="21" t="n">
        <v>0</v>
      </c>
      <c r="T245" s="22" t="n">
        <v>173.61</v>
      </c>
      <c r="U245" s="23" t="n">
        <v>1</v>
      </c>
      <c r="V245" s="23" t="n">
        <v>0</v>
      </c>
      <c r="W245" s="23" t="n">
        <v>0</v>
      </c>
      <c r="X245" s="40" t="n"/>
      <c r="Y245" s="18" t="n"/>
      <c r="Z245" s="18" t="inlineStr">
        <is>
          <t>NÃO</t>
        </is>
      </c>
    </row>
    <row r="246">
      <c r="A246" s="18" t="inlineStr">
        <is>
          <t>16/CIDAN</t>
        </is>
      </c>
      <c r="B246" s="18" t="inlineStr">
        <is>
          <t>SPE - CIDADE NOVA LTDA</t>
        </is>
      </c>
      <c r="C246" s="18" t="inlineStr">
        <is>
          <t>76</t>
        </is>
      </c>
      <c r="D246" s="18" t="inlineStr">
        <is>
          <t>ANGELO SOUSA CARVALHO</t>
        </is>
      </c>
      <c r="E246" s="25" t="inlineStr">
        <is>
          <t>QUADRA 20/LOTE 05</t>
        </is>
      </c>
      <c r="F246" s="43" t="inlineStr">
        <is>
          <t>QUITADO</t>
        </is>
      </c>
      <c r="G246" s="22" t="n">
        <v>0</v>
      </c>
      <c r="H246" s="20" t="n">
        <v>178</v>
      </c>
      <c r="I246" s="20" t="n">
        <v>12</v>
      </c>
      <c r="J246" s="21" t="n">
        <v>2373.12</v>
      </c>
      <c r="K246" s="44" t="n">
        <v>0</v>
      </c>
      <c r="L246" s="22" t="n">
        <v>0</v>
      </c>
      <c r="M246" s="22" t="n">
        <v>0</v>
      </c>
      <c r="N246" s="22" t="n">
        <v>0</v>
      </c>
      <c r="O246" s="22" t="n">
        <v>0</v>
      </c>
      <c r="P246" s="22" t="n">
        <v>0</v>
      </c>
      <c r="Q246" s="21" t="n">
        <v>0</v>
      </c>
      <c r="R246" s="20" t="n">
        <v>0</v>
      </c>
      <c r="S246" s="21" t="n">
        <v>0</v>
      </c>
      <c r="T246" s="22" t="n">
        <v>2373.12</v>
      </c>
      <c r="U246" s="23" t="n">
        <v>1</v>
      </c>
      <c r="V246" s="23" t="n">
        <v>0</v>
      </c>
      <c r="W246" s="23" t="n">
        <v>0</v>
      </c>
      <c r="X246" s="40" t="n"/>
      <c r="Y246" s="18" t="n"/>
      <c r="Z246" s="18" t="inlineStr">
        <is>
          <t>NÃO</t>
        </is>
      </c>
    </row>
    <row r="247">
      <c r="A247" s="18" t="inlineStr">
        <is>
          <t>16/CIDAN</t>
        </is>
      </c>
      <c r="B247" s="18" t="inlineStr">
        <is>
          <t>SPE - CIDADE NOVA LTDA</t>
        </is>
      </c>
      <c r="C247" s="18" t="inlineStr">
        <is>
          <t>8</t>
        </is>
      </c>
      <c r="D247" s="18" t="inlineStr">
        <is>
          <t>DIONIZIO PINHEIRO DOS REIS</t>
        </is>
      </c>
      <c r="E247" s="25" t="inlineStr">
        <is>
          <t>QUADRA 01/LOTE 06</t>
        </is>
      </c>
      <c r="F247" s="43" t="inlineStr">
        <is>
          <t>QUITADO</t>
        </is>
      </c>
      <c r="G247" s="22" t="n">
        <v>0</v>
      </c>
      <c r="H247" s="20" t="n">
        <v>178</v>
      </c>
      <c r="I247" s="20" t="n">
        <v>2</v>
      </c>
      <c r="J247" s="21" t="n">
        <v>617.02</v>
      </c>
      <c r="K247" s="44" t="n">
        <v>0</v>
      </c>
      <c r="L247" s="22" t="n">
        <v>0</v>
      </c>
      <c r="M247" s="22" t="n">
        <v>0</v>
      </c>
      <c r="N247" s="22" t="n">
        <v>0</v>
      </c>
      <c r="O247" s="22" t="n">
        <v>0</v>
      </c>
      <c r="P247" s="22" t="n">
        <v>0</v>
      </c>
      <c r="Q247" s="21" t="n">
        <v>0</v>
      </c>
      <c r="R247" s="20" t="n">
        <v>0</v>
      </c>
      <c r="S247" s="21" t="n">
        <v>0</v>
      </c>
      <c r="T247" s="22" t="n">
        <v>617.02</v>
      </c>
      <c r="U247" s="23" t="n">
        <v>1</v>
      </c>
      <c r="V247" s="23" t="n">
        <v>0</v>
      </c>
      <c r="W247" s="23" t="n">
        <v>0</v>
      </c>
      <c r="X247" s="40" t="n"/>
      <c r="Y247" s="18" t="n"/>
      <c r="Z247" s="18" t="inlineStr">
        <is>
          <t>NÃO</t>
        </is>
      </c>
    </row>
    <row r="248">
      <c r="A248" s="18" t="inlineStr">
        <is>
          <t>16/CIDAN</t>
        </is>
      </c>
      <c r="B248" s="18" t="inlineStr">
        <is>
          <t>SPE - CIDADE NOVA LTDA</t>
        </is>
      </c>
      <c r="C248" s="18" t="inlineStr">
        <is>
          <t>83</t>
        </is>
      </c>
      <c r="D248" s="18" t="inlineStr">
        <is>
          <t>GENILTON REIS BRITO</t>
        </is>
      </c>
      <c r="E248" s="25" t="inlineStr">
        <is>
          <t>QUADRA 03/LOTE 27</t>
        </is>
      </c>
      <c r="F248" s="43" t="inlineStr">
        <is>
          <t>QUITADO</t>
        </is>
      </c>
      <c r="G248" s="22" t="n">
        <v>0</v>
      </c>
      <c r="H248" s="20" t="n">
        <v>178</v>
      </c>
      <c r="I248" s="20" t="n">
        <v>1</v>
      </c>
      <c r="J248" s="21" t="n">
        <v>173.61</v>
      </c>
      <c r="K248" s="44" t="n">
        <v>0</v>
      </c>
      <c r="L248" s="22" t="n">
        <v>0</v>
      </c>
      <c r="M248" s="22" t="n">
        <v>0</v>
      </c>
      <c r="N248" s="22" t="n">
        <v>0</v>
      </c>
      <c r="O248" s="22" t="n">
        <v>0</v>
      </c>
      <c r="P248" s="22" t="n">
        <v>0</v>
      </c>
      <c r="Q248" s="21" t="n">
        <v>0</v>
      </c>
      <c r="R248" s="20" t="n">
        <v>0</v>
      </c>
      <c r="S248" s="21" t="n">
        <v>0</v>
      </c>
      <c r="T248" s="22" t="n">
        <v>173.61</v>
      </c>
      <c r="U248" s="23" t="n">
        <v>1</v>
      </c>
      <c r="V248" s="23" t="n">
        <v>0</v>
      </c>
      <c r="W248" s="23" t="n">
        <v>0</v>
      </c>
      <c r="X248" s="40" t="n"/>
      <c r="Y248" s="18" t="n"/>
      <c r="Z248" s="18" t="inlineStr">
        <is>
          <t>NÃO</t>
        </is>
      </c>
    </row>
    <row r="249">
      <c r="A249" s="18" t="inlineStr">
        <is>
          <t>16/CIDAN</t>
        </is>
      </c>
      <c r="B249" s="18" t="inlineStr">
        <is>
          <t>SPE - CIDADE NOVA LTDA</t>
        </is>
      </c>
      <c r="C249" s="18" t="inlineStr">
        <is>
          <t>85</t>
        </is>
      </c>
      <c r="D249" s="18" t="inlineStr">
        <is>
          <t>ANDRELINA DIAS DE MELO</t>
        </is>
      </c>
      <c r="E249" s="25" t="inlineStr">
        <is>
          <t>QUADRA 05/LOTE 05</t>
        </is>
      </c>
      <c r="F249" s="43" t="inlineStr">
        <is>
          <t>QUITADO</t>
        </is>
      </c>
      <c r="G249" s="22" t="n">
        <v>0</v>
      </c>
      <c r="H249" s="20" t="n">
        <v>178</v>
      </c>
      <c r="I249" s="20" t="n">
        <v>5</v>
      </c>
      <c r="J249" s="21" t="n">
        <v>1034.4</v>
      </c>
      <c r="K249" s="44" t="n">
        <v>0</v>
      </c>
      <c r="L249" s="22" t="n">
        <v>0</v>
      </c>
      <c r="M249" s="22" t="n">
        <v>0</v>
      </c>
      <c r="N249" s="22" t="n">
        <v>0</v>
      </c>
      <c r="O249" s="22" t="n">
        <v>0</v>
      </c>
      <c r="P249" s="22" t="n">
        <v>0</v>
      </c>
      <c r="Q249" s="21" t="n">
        <v>0</v>
      </c>
      <c r="R249" s="20" t="n">
        <v>0</v>
      </c>
      <c r="S249" s="21" t="n">
        <v>0</v>
      </c>
      <c r="T249" s="22" t="n">
        <v>1034.4</v>
      </c>
      <c r="U249" s="23" t="n">
        <v>1</v>
      </c>
      <c r="V249" s="23" t="n">
        <v>0</v>
      </c>
      <c r="W249" s="23" t="n">
        <v>0</v>
      </c>
      <c r="X249" s="40" t="n"/>
      <c r="Y249" s="18" t="n"/>
      <c r="Z249" s="18" t="inlineStr">
        <is>
          <t>NÃO</t>
        </is>
      </c>
    </row>
    <row r="250">
      <c r="A250" s="18" t="inlineStr">
        <is>
          <t>16/CIDAN</t>
        </is>
      </c>
      <c r="B250" s="18" t="inlineStr">
        <is>
          <t>SPE - CIDADE NOVA LTDA</t>
        </is>
      </c>
      <c r="C250" s="18" t="inlineStr">
        <is>
          <t>86</t>
        </is>
      </c>
      <c r="D250" s="18" t="inlineStr">
        <is>
          <t>VIDAL ALVES SANTANA</t>
        </is>
      </c>
      <c r="E250" s="25" t="inlineStr">
        <is>
          <t>QUADRA 13/LOTE 08</t>
        </is>
      </c>
      <c r="F250" s="43" t="inlineStr">
        <is>
          <t>QUITADO</t>
        </is>
      </c>
      <c r="G250" s="22" t="n">
        <v>0</v>
      </c>
      <c r="H250" s="20" t="n">
        <v>178</v>
      </c>
      <c r="I250" s="20" t="n">
        <v>3</v>
      </c>
      <c r="J250" s="21" t="n">
        <v>520.83</v>
      </c>
      <c r="K250" s="44" t="n">
        <v>0</v>
      </c>
      <c r="L250" s="22" t="n">
        <v>0</v>
      </c>
      <c r="M250" s="22" t="n">
        <v>0</v>
      </c>
      <c r="N250" s="22" t="n">
        <v>0</v>
      </c>
      <c r="O250" s="22" t="n">
        <v>0</v>
      </c>
      <c r="P250" s="22" t="n">
        <v>0</v>
      </c>
      <c r="Q250" s="21" t="n">
        <v>0</v>
      </c>
      <c r="R250" s="20" t="n">
        <v>0</v>
      </c>
      <c r="S250" s="21" t="n">
        <v>0</v>
      </c>
      <c r="T250" s="22" t="n">
        <v>520.83</v>
      </c>
      <c r="U250" s="23" t="n">
        <v>1</v>
      </c>
      <c r="V250" s="23" t="n">
        <v>0</v>
      </c>
      <c r="W250" s="23" t="n">
        <v>0</v>
      </c>
      <c r="X250" s="40" t="n"/>
      <c r="Y250" s="18" t="n"/>
      <c r="Z250" s="18" t="inlineStr">
        <is>
          <t>NÃO</t>
        </is>
      </c>
    </row>
    <row r="251">
      <c r="A251" s="18" t="inlineStr">
        <is>
          <t>16/CIDAN</t>
        </is>
      </c>
      <c r="B251" s="18" t="inlineStr">
        <is>
          <t>SPE - CIDADE NOVA LTDA</t>
        </is>
      </c>
      <c r="C251" s="18" t="inlineStr">
        <is>
          <t>88</t>
        </is>
      </c>
      <c r="D251" s="18" t="inlineStr">
        <is>
          <t>CINTIA DA SILVA SANTOS</t>
        </is>
      </c>
      <c r="E251" s="25" t="inlineStr">
        <is>
          <t>QUADRA 38/LOTE 04</t>
        </is>
      </c>
      <c r="F251" s="43" t="inlineStr">
        <is>
          <t>QUITADO</t>
        </is>
      </c>
      <c r="G251" s="22" t="n">
        <v>0</v>
      </c>
      <c r="H251" s="20" t="n">
        <v>178</v>
      </c>
      <c r="I251" s="20" t="n">
        <v>3</v>
      </c>
      <c r="J251" s="21" t="n">
        <v>444.15</v>
      </c>
      <c r="K251" s="44" t="n">
        <v>0</v>
      </c>
      <c r="L251" s="22" t="n">
        <v>0</v>
      </c>
      <c r="M251" s="22" t="n">
        <v>0</v>
      </c>
      <c r="N251" s="22" t="n">
        <v>0</v>
      </c>
      <c r="O251" s="22" t="n">
        <v>0</v>
      </c>
      <c r="P251" s="22" t="n">
        <v>0</v>
      </c>
      <c r="Q251" s="21" t="n">
        <v>0</v>
      </c>
      <c r="R251" s="20" t="n">
        <v>0</v>
      </c>
      <c r="S251" s="21" t="n">
        <v>0</v>
      </c>
      <c r="T251" s="22" t="n">
        <v>444.15</v>
      </c>
      <c r="U251" s="23" t="n">
        <v>1</v>
      </c>
      <c r="V251" s="23" t="n">
        <v>0</v>
      </c>
      <c r="W251" s="23" t="n">
        <v>0</v>
      </c>
      <c r="X251" s="40" t="n"/>
      <c r="Y251" s="18" t="n"/>
      <c r="Z251" s="18" t="inlineStr">
        <is>
          <t>NÃO</t>
        </is>
      </c>
    </row>
    <row r="252">
      <c r="A252" s="18" t="inlineStr">
        <is>
          <t>16/CIDAN</t>
        </is>
      </c>
      <c r="B252" s="18" t="inlineStr">
        <is>
          <t>SPE - CIDADE NOVA LTDA</t>
        </is>
      </c>
      <c r="C252" s="18" t="inlineStr">
        <is>
          <t>9</t>
        </is>
      </c>
      <c r="D252" s="18" t="inlineStr">
        <is>
          <t>ANDREA LUNCA DE LIMA</t>
        </is>
      </c>
      <c r="E252" s="25" t="inlineStr">
        <is>
          <t>QUADRA 06/LOTE 19</t>
        </is>
      </c>
      <c r="F252" s="43" t="inlineStr">
        <is>
          <t>QUITADO</t>
        </is>
      </c>
      <c r="G252" s="22" t="n">
        <v>0</v>
      </c>
      <c r="H252" s="20" t="n">
        <v>178</v>
      </c>
      <c r="I252" s="20" t="n">
        <v>2</v>
      </c>
      <c r="J252" s="21" t="n">
        <v>444.76</v>
      </c>
      <c r="K252" s="44" t="n">
        <v>0</v>
      </c>
      <c r="L252" s="22" t="n">
        <v>0</v>
      </c>
      <c r="M252" s="22" t="n">
        <v>0</v>
      </c>
      <c r="N252" s="22" t="n">
        <v>0</v>
      </c>
      <c r="O252" s="22" t="n">
        <v>0</v>
      </c>
      <c r="P252" s="22" t="n">
        <v>0</v>
      </c>
      <c r="Q252" s="21" t="n">
        <v>0</v>
      </c>
      <c r="R252" s="20" t="n">
        <v>0</v>
      </c>
      <c r="S252" s="21" t="n">
        <v>0</v>
      </c>
      <c r="T252" s="22" t="n">
        <v>444.76</v>
      </c>
      <c r="U252" s="23" t="n">
        <v>1</v>
      </c>
      <c r="V252" s="23" t="n">
        <v>0</v>
      </c>
      <c r="W252" s="23" t="n">
        <v>0</v>
      </c>
      <c r="X252" s="40" t="n"/>
      <c r="Y252" s="18" t="n"/>
      <c r="Z252" s="18" t="inlineStr">
        <is>
          <t>NÃO</t>
        </is>
      </c>
    </row>
    <row r="253">
      <c r="A253" s="18" t="inlineStr">
        <is>
          <t>16/CIDAN</t>
        </is>
      </c>
      <c r="B253" s="18" t="inlineStr">
        <is>
          <t>SPE - CIDADE NOVA LTDA</t>
        </is>
      </c>
      <c r="C253" s="18" t="inlineStr">
        <is>
          <t>91</t>
        </is>
      </c>
      <c r="D253" s="18" t="inlineStr">
        <is>
          <t>GENILTON REIS BRITO</t>
        </is>
      </c>
      <c r="E253" s="25" t="inlineStr">
        <is>
          <t>QUADRA 03/LOTE 09</t>
        </is>
      </c>
      <c r="F253" s="43" t="inlineStr">
        <is>
          <t>QUITADO</t>
        </is>
      </c>
      <c r="G253" s="22" t="n">
        <v>0</v>
      </c>
      <c r="H253" s="20" t="n">
        <v>178</v>
      </c>
      <c r="I253" s="20" t="n">
        <v>1</v>
      </c>
      <c r="J253" s="21" t="n">
        <v>298.61</v>
      </c>
      <c r="K253" s="44" t="n">
        <v>0</v>
      </c>
      <c r="L253" s="22" t="n">
        <v>0</v>
      </c>
      <c r="M253" s="22" t="n">
        <v>0</v>
      </c>
      <c r="N253" s="22" t="n">
        <v>0</v>
      </c>
      <c r="O253" s="22" t="n">
        <v>0</v>
      </c>
      <c r="P253" s="22" t="n">
        <v>0</v>
      </c>
      <c r="Q253" s="21" t="n">
        <v>0</v>
      </c>
      <c r="R253" s="20" t="n">
        <v>0</v>
      </c>
      <c r="S253" s="21" t="n">
        <v>0</v>
      </c>
      <c r="T253" s="22" t="n">
        <v>298.61</v>
      </c>
      <c r="U253" s="23" t="n">
        <v>1</v>
      </c>
      <c r="V253" s="23" t="n">
        <v>0</v>
      </c>
      <c r="W253" s="23" t="n">
        <v>0</v>
      </c>
      <c r="X253" s="40" t="n"/>
      <c r="Y253" s="18" t="n"/>
      <c r="Z253" s="18" t="inlineStr">
        <is>
          <t>NÃO</t>
        </is>
      </c>
    </row>
    <row r="254">
      <c r="A254" s="18" t="inlineStr">
        <is>
          <t>16/CIDAN</t>
        </is>
      </c>
      <c r="B254" s="18" t="inlineStr">
        <is>
          <t>SPE - CIDADE NOVA LTDA</t>
        </is>
      </c>
      <c r="C254" s="18" t="inlineStr">
        <is>
          <t>99</t>
        </is>
      </c>
      <c r="D254" s="18" t="inlineStr">
        <is>
          <t>ISAIAS NASCIMENTO DA SILVA</t>
        </is>
      </c>
      <c r="E254" s="25" t="inlineStr">
        <is>
          <t>QUADRA 07/LOTE 05</t>
        </is>
      </c>
      <c r="F254" s="43" t="inlineStr">
        <is>
          <t>QUITADO</t>
        </is>
      </c>
      <c r="G254" s="22" t="n">
        <v>0</v>
      </c>
      <c r="H254" s="20" t="n">
        <v>178</v>
      </c>
      <c r="I254" s="20" t="n">
        <v>5</v>
      </c>
      <c r="J254" s="21" t="n">
        <v>1029.1</v>
      </c>
      <c r="K254" s="44" t="n">
        <v>0</v>
      </c>
      <c r="L254" s="22" t="n">
        <v>0</v>
      </c>
      <c r="M254" s="22" t="n">
        <v>0</v>
      </c>
      <c r="N254" s="22" t="n">
        <v>0</v>
      </c>
      <c r="O254" s="22" t="n">
        <v>0</v>
      </c>
      <c r="P254" s="22" t="n">
        <v>0</v>
      </c>
      <c r="Q254" s="21" t="n">
        <v>0</v>
      </c>
      <c r="R254" s="20" t="n">
        <v>0</v>
      </c>
      <c r="S254" s="21" t="n">
        <v>0</v>
      </c>
      <c r="T254" s="22" t="n">
        <v>1029.1</v>
      </c>
      <c r="U254" s="23" t="n">
        <v>1</v>
      </c>
      <c r="V254" s="23" t="n">
        <v>0</v>
      </c>
      <c r="W254" s="23" t="n">
        <v>0</v>
      </c>
      <c r="X254" s="40" t="n"/>
      <c r="Y254" s="18" t="n"/>
      <c r="Z254" s="18" t="inlineStr">
        <is>
          <t>NÃO</t>
        </is>
      </c>
    </row>
  </sheetData>
  <autoFilter ref="A8:Z254"/>
  <mergeCells count="5">
    <mergeCell ref="F7:J7"/>
    <mergeCell ref="T7:X7"/>
    <mergeCell ref="R7:S7"/>
    <mergeCell ref="A7:E7"/>
    <mergeCell ref="K7:Q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36" customWidth="1" min="4" max="4"/>
    <col width="30" customWidth="1" min="5" max="5"/>
    <col width="18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8" customWidth="1" min="12" max="12"/>
    <col width="14" customWidth="1" min="13" max="13"/>
    <col width="14" customWidth="1" min="14" max="14"/>
    <col width="14" customWidth="1" min="15" max="15"/>
    <col width="18" customWidth="1" min="16" max="16"/>
    <col width="20" customWidth="1" min="17" max="17"/>
    <col width="14" customWidth="1" min="18" max="18"/>
    <col width="14" customWidth="1" min="19" max="19"/>
    <col width="16" customWidth="1" min="20" max="20"/>
    <col width="12" customWidth="1" min="21" max="21"/>
    <col width="14" customWidth="1" min="22" max="22"/>
    <col width="12" customWidth="1" min="23" max="23"/>
    <col width="18" customWidth="1" min="24" max="24"/>
    <col width="20" customWidth="1" min="25" max="25"/>
    <col width="12" customWidth="1" min="26" max="26"/>
  </cols>
  <sheetData>
    <row r="1">
      <c r="A1" s="1" t="inlineStr">
        <is>
          <t>EMPREENDIMENTO</t>
        </is>
      </c>
      <c r="B1" s="2" t="inlineStr">
        <is>
          <t>SPE RESIDENCIAL OURILANDIA LTDA</t>
        </is>
      </c>
      <c r="C1" s="34" t="n"/>
      <c r="D1" s="1" t="inlineStr">
        <is>
          <t>PAINEL ESTOQUE</t>
        </is>
      </c>
      <c r="E1" s="2" t="n"/>
      <c r="F1" s="1" t="inlineStr">
        <is>
          <t>LINK DRIVE</t>
        </is>
      </c>
      <c r="G1" s="35" t="inlineStr">
        <is>
          <t>LINK NÃO CADASTRADO</t>
        </is>
      </c>
    </row>
    <row r="2">
      <c r="A2" s="3" t="inlineStr">
        <is>
          <t>DATA-BASE</t>
        </is>
      </c>
      <c r="B2" s="4" t="inlineStr">
        <is>
          <t>06/04/2026</t>
        </is>
      </c>
      <c r="C2" s="36" t="n"/>
      <c r="D2" s="3" t="inlineStr">
        <is>
          <t>QTD.UNID.TOTAL</t>
        </is>
      </c>
      <c r="E2" s="4" t="n"/>
    </row>
    <row r="3">
      <c r="A3" s="3" t="inlineStr">
        <is>
          <t>QTD. VENDAS</t>
        </is>
      </c>
      <c r="B3" s="4">
        <f>SUBTOTAL(103,C9:C1048576)</f>
        <v/>
      </c>
      <c r="C3" s="36" t="n"/>
      <c r="D3" s="3" t="inlineStr">
        <is>
          <t>QTD.UNID.INADIMPLENTES</t>
        </is>
      </c>
      <c r="E3" s="37" t="n"/>
    </row>
    <row r="4">
      <c r="A4" s="3" t="inlineStr">
        <is>
          <t>VL.CARTEIRA (POSIÇÃO TOTAL)</t>
        </is>
      </c>
      <c r="B4" s="5">
        <f>SUBTOTAL(109,T9:T1048576)</f>
        <v/>
      </c>
      <c r="C4" s="36" t="n"/>
      <c r="D4" s="3" t="inlineStr">
        <is>
          <t>QTD.UNID.QUITADAS</t>
        </is>
      </c>
      <c r="E4" s="37" t="n"/>
    </row>
    <row r="5">
      <c r="A5" s="3" t="inlineStr">
        <is>
          <t>VL.TOTAL INADIMPLÊNCIA</t>
        </is>
      </c>
      <c r="B5" s="5">
        <f>SUBTOTAL(109,Q9:Q1048576)</f>
        <v/>
      </c>
      <c r="C5" s="36" t="n"/>
      <c r="D5" s="3" t="inlineStr">
        <is>
          <t>QTD.UNID.VENDIDAS</t>
        </is>
      </c>
      <c r="E5" s="37" t="n"/>
    </row>
    <row r="6">
      <c r="A6" s="3" t="inlineStr">
        <is>
          <t>% INADIMPLÊNCIA / CARTEIRA TOTAL</t>
        </is>
      </c>
      <c r="B6" s="37">
        <f>IFERROR(B5/B4,0)</f>
        <v/>
      </c>
      <c r="C6" s="36" t="n"/>
      <c r="D6" s="3" t="inlineStr">
        <is>
          <t>QTD.UNID.DISPONIVEL</t>
        </is>
      </c>
      <c r="E6" s="37" t="n"/>
    </row>
    <row r="7">
      <c r="A7" s="8" t="inlineStr">
        <is>
          <t>DADOS CADASTRO</t>
        </is>
      </c>
      <c r="B7" s="9" t="n"/>
      <c r="C7" s="9" t="n"/>
      <c r="D7" s="9" t="n"/>
      <c r="E7" s="10" t="n"/>
      <c r="F7" s="11" t="inlineStr">
        <is>
          <t>PAGO</t>
        </is>
      </c>
      <c r="G7" s="9" t="n"/>
      <c r="H7" s="9" t="n"/>
      <c r="I7" s="9" t="n"/>
      <c r="J7" s="10" t="n"/>
      <c r="K7" s="12" t="inlineStr">
        <is>
          <t>INADIMPLÊNCIA</t>
        </is>
      </c>
      <c r="L7" s="9" t="n"/>
      <c r="M7" s="9" t="n"/>
      <c r="N7" s="9" t="n"/>
      <c r="O7" s="9" t="n"/>
      <c r="P7" s="9" t="n"/>
      <c r="Q7" s="10" t="n"/>
      <c r="R7" s="13" t="inlineStr">
        <is>
          <t>A VENCER</t>
        </is>
      </c>
      <c r="S7" s="10" t="n"/>
      <c r="T7" s="14" t="inlineStr">
        <is>
          <t>INDICADORES</t>
        </is>
      </c>
      <c r="U7" s="9" t="n"/>
      <c r="V7" s="9" t="n"/>
      <c r="W7" s="9" t="n"/>
      <c r="X7" s="10" t="n"/>
    </row>
    <row r="8">
      <c r="A8" s="16" t="inlineStr">
        <is>
          <t>EMP/OBRA</t>
        </is>
      </c>
      <c r="B8" s="16" t="inlineStr">
        <is>
          <t>EMPREENDIMENTO</t>
        </is>
      </c>
      <c r="C8" s="16" t="inlineStr">
        <is>
          <t>VENDA</t>
        </is>
      </c>
      <c r="D8" s="16" t="inlineStr">
        <is>
          <t>CLIENTE</t>
        </is>
      </c>
      <c r="E8" s="17" t="inlineStr">
        <is>
          <t>IDENTIFICADOR</t>
        </is>
      </c>
      <c r="F8" s="16" t="inlineStr">
        <is>
          <t>STATUS VENDA</t>
        </is>
      </c>
      <c r="G8" s="16" t="inlineStr">
        <is>
          <t>VALOR DA PARCELA</t>
        </is>
      </c>
      <c r="H8" s="16" t="inlineStr">
        <is>
          <t>QTD.PARC.TOTAL</t>
        </is>
      </c>
      <c r="I8" s="16" t="inlineStr">
        <is>
          <t>QTD.PARC.PAGA</t>
        </is>
      </c>
      <c r="J8" s="17" t="inlineStr">
        <is>
          <t>VL.PAGO</t>
        </is>
      </c>
      <c r="K8" s="16" t="inlineStr">
        <is>
          <t>QTD.PARC.ATRASADA</t>
        </is>
      </c>
      <c r="L8" s="16" t="inlineStr">
        <is>
          <t>VL.PRINCIPAL ATRASADO</t>
        </is>
      </c>
      <c r="M8" s="16" t="inlineStr">
        <is>
          <t>VL.CORREÇÃO</t>
        </is>
      </c>
      <c r="N8" s="16" t="inlineStr">
        <is>
          <t>VL.JUROS</t>
        </is>
      </c>
      <c r="O8" s="16" t="inlineStr">
        <is>
          <t>VL.MULTAS</t>
        </is>
      </c>
      <c r="P8" s="16" t="inlineStr">
        <is>
          <t>VL.CORREÇÃO ATRASO</t>
        </is>
      </c>
      <c r="Q8" s="17" t="inlineStr">
        <is>
          <t>VL.PRINCIPAL (ENCARGOS)</t>
        </is>
      </c>
      <c r="R8" s="16" t="inlineStr">
        <is>
          <t>QTD.PARC.A VENCER</t>
        </is>
      </c>
      <c r="S8" s="17" t="inlineStr">
        <is>
          <t>VL.VENCER</t>
        </is>
      </c>
      <c r="T8" s="16" t="inlineStr">
        <is>
          <t>VL.CARTEIRA</t>
        </is>
      </c>
      <c r="U8" s="16" t="inlineStr">
        <is>
          <t>% PAGO</t>
        </is>
      </c>
      <c r="V8" s="16" t="inlineStr">
        <is>
          <t>% INADIMPLÊNCIA</t>
        </is>
      </c>
      <c r="W8" s="16" t="inlineStr">
        <is>
          <t>% A VENCER</t>
        </is>
      </c>
      <c r="X8" s="17" t="inlineStr">
        <is>
          <t>DIA VENCIMENTO</t>
        </is>
      </c>
      <c r="Y8" s="16" t="inlineStr">
        <is>
          <t>STATUS CONSTRUÇÃO</t>
        </is>
      </c>
      <c r="Z8" s="16" t="inlineStr">
        <is>
          <t>APORTE</t>
        </is>
      </c>
    </row>
    <row r="9">
      <c r="A9" s="18" t="inlineStr">
        <is>
          <t>71/ALVLT</t>
        </is>
      </c>
      <c r="B9" s="18" t="inlineStr">
        <is>
          <t>SPE RESIDENCIAL OURILANDIA LTDA</t>
        </is>
      </c>
      <c r="C9" s="18" t="inlineStr">
        <is>
          <t>85</t>
        </is>
      </c>
      <c r="D9" s="18" t="inlineStr">
        <is>
          <t>LEANDRO NUNES TAVARES</t>
        </is>
      </c>
      <c r="E9" s="25" t="inlineStr">
        <is>
          <t>QUADRA 22/LOTE 27</t>
        </is>
      </c>
      <c r="F9" s="38" t="inlineStr">
        <is>
          <t>INADIMPLENTE</t>
        </is>
      </c>
      <c r="G9" s="22" t="n">
        <v>208.33</v>
      </c>
      <c r="H9" s="20" t="n">
        <v>120</v>
      </c>
      <c r="I9" s="20" t="n">
        <v>3</v>
      </c>
      <c r="J9" s="21" t="n">
        <v>705.46</v>
      </c>
      <c r="K9" s="39" t="n">
        <v>98</v>
      </c>
      <c r="L9" s="22" t="n">
        <v>20416.34</v>
      </c>
      <c r="M9" s="22" t="n">
        <v>16199.66</v>
      </c>
      <c r="N9" s="22" t="n">
        <v>27993.19</v>
      </c>
      <c r="O9" s="22" t="n">
        <v>1125.22</v>
      </c>
      <c r="P9" s="22" t="n">
        <v>19644.33</v>
      </c>
      <c r="Q9" s="21" t="n">
        <v>85378.74000000001</v>
      </c>
      <c r="R9" s="20" t="n">
        <v>19</v>
      </c>
      <c r="S9" s="21" t="n">
        <v>11339.4</v>
      </c>
      <c r="T9" s="22" t="n">
        <v>97423.60000000001</v>
      </c>
      <c r="U9" s="23" t="n">
        <v>0.007241</v>
      </c>
      <c r="V9" s="23" t="n">
        <v>0.876366</v>
      </c>
      <c r="W9" s="23" t="n">
        <v>0.116393</v>
      </c>
      <c r="X9" s="40" t="n">
        <v>15</v>
      </c>
      <c r="Y9" s="18" t="n"/>
      <c r="Z9" s="18" t="inlineStr">
        <is>
          <t>NÃO</t>
        </is>
      </c>
    </row>
    <row r="10">
      <c r="A10" s="18" t="inlineStr">
        <is>
          <t>71/ALVLT</t>
        </is>
      </c>
      <c r="B10" s="18" t="inlineStr">
        <is>
          <t>SPE RESIDENCIAL OURILANDIA LTDA</t>
        </is>
      </c>
      <c r="C10" s="18" t="inlineStr">
        <is>
          <t>44</t>
        </is>
      </c>
      <c r="D10" s="18" t="inlineStr">
        <is>
          <t>PEDRO NILTO EVANGELISTA ANDRADE</t>
        </is>
      </c>
      <c r="E10" s="25" t="inlineStr">
        <is>
          <t>QUADRA 12/LOTE 01</t>
        </is>
      </c>
      <c r="F10" s="38" t="inlineStr">
        <is>
          <t>INADIMPLENTE</t>
        </is>
      </c>
      <c r="G10" s="22" t="n">
        <v>150</v>
      </c>
      <c r="H10" s="20" t="n">
        <v>120</v>
      </c>
      <c r="I10" s="20" t="n">
        <v>20</v>
      </c>
      <c r="J10" s="21" t="n">
        <v>3233.34</v>
      </c>
      <c r="K10" s="39" t="n">
        <v>83</v>
      </c>
      <c r="L10" s="22" t="n">
        <v>12450</v>
      </c>
      <c r="M10" s="22" t="n">
        <v>11950.38</v>
      </c>
      <c r="N10" s="22" t="n">
        <v>14710.98</v>
      </c>
      <c r="O10" s="22" t="n">
        <v>698.41</v>
      </c>
      <c r="P10" s="22" t="n">
        <v>10520.79</v>
      </c>
      <c r="Q10" s="21" t="n">
        <v>50330.56</v>
      </c>
      <c r="R10" s="20" t="n">
        <v>17</v>
      </c>
      <c r="S10" s="21" t="n">
        <v>7322.58</v>
      </c>
      <c r="T10" s="22" t="n">
        <v>60886.48</v>
      </c>
      <c r="U10" s="23" t="n">
        <v>0.053104</v>
      </c>
      <c r="V10" s="23" t="n">
        <v>0.8266289999999999</v>
      </c>
      <c r="W10" s="23" t="n">
        <v>0.120266</v>
      </c>
      <c r="X10" s="40" t="n">
        <v>15</v>
      </c>
      <c r="Y10" s="18" t="n"/>
      <c r="Z10" s="18" t="inlineStr">
        <is>
          <t>NÃO</t>
        </is>
      </c>
    </row>
    <row r="11">
      <c r="A11" s="18" t="inlineStr">
        <is>
          <t>71/ALVLT</t>
        </is>
      </c>
      <c r="B11" s="18" t="inlineStr">
        <is>
          <t>SPE RESIDENCIAL OURILANDIA LTDA</t>
        </is>
      </c>
      <c r="C11" s="18" t="inlineStr">
        <is>
          <t>56</t>
        </is>
      </c>
      <c r="D11" s="18" t="inlineStr">
        <is>
          <t>JAZON SALDANHA DE OLIVEIRA DA SILVA</t>
        </is>
      </c>
      <c r="E11" s="25" t="inlineStr">
        <is>
          <t>QUADRA 17/LOTE 14</t>
        </is>
      </c>
      <c r="F11" s="38" t="inlineStr">
        <is>
          <t>INADIMPLENTE</t>
        </is>
      </c>
      <c r="G11" s="22" t="n">
        <v>166.66</v>
      </c>
      <c r="H11" s="20" t="n">
        <v>120</v>
      </c>
      <c r="I11" s="20" t="n">
        <v>22</v>
      </c>
      <c r="J11" s="21" t="n">
        <v>6104.33</v>
      </c>
      <c r="K11" s="39" t="n">
        <v>72</v>
      </c>
      <c r="L11" s="22" t="n">
        <v>12523.14</v>
      </c>
      <c r="M11" s="22" t="n">
        <v>12621.57</v>
      </c>
      <c r="N11" s="22" t="n">
        <v>12405.37</v>
      </c>
      <c r="O11" s="22" t="n">
        <v>677.96</v>
      </c>
      <c r="P11" s="22" t="n">
        <v>8753.930000000002</v>
      </c>
      <c r="Q11" s="21" t="n">
        <v>46981.97</v>
      </c>
      <c r="R11" s="20" t="n">
        <v>17</v>
      </c>
      <c r="S11" s="21" t="n">
        <v>8212.98</v>
      </c>
      <c r="T11" s="22" t="n">
        <v>61299.28</v>
      </c>
      <c r="U11" s="23" t="n">
        <v>0.099582</v>
      </c>
      <c r="V11" s="23" t="n">
        <v>0.766436</v>
      </c>
      <c r="W11" s="23" t="n">
        <v>0.133982</v>
      </c>
      <c r="X11" s="40" t="n">
        <v>15</v>
      </c>
      <c r="Y11" s="18" t="n"/>
      <c r="Z11" s="18" t="inlineStr">
        <is>
          <t>NÃO</t>
        </is>
      </c>
    </row>
    <row r="12">
      <c r="A12" s="18" t="inlineStr">
        <is>
          <t>71/ALVLT</t>
        </is>
      </c>
      <c r="B12" s="18" t="inlineStr">
        <is>
          <t>SPE RESIDENCIAL OURILANDIA LTDA</t>
        </is>
      </c>
      <c r="C12" s="18" t="inlineStr">
        <is>
          <t>144</t>
        </is>
      </c>
      <c r="D12" s="18" t="inlineStr">
        <is>
          <t>EDINOMAR ROBES PEREIRA</t>
        </is>
      </c>
      <c r="E12" s="25" t="inlineStr">
        <is>
          <t>QUADRA 22/LOTE 31</t>
        </is>
      </c>
      <c r="F12" s="38" t="inlineStr">
        <is>
          <t>INADIMPLENTE</t>
        </is>
      </c>
      <c r="G12" s="22" t="n">
        <v>302.19</v>
      </c>
      <c r="H12" s="20" t="n">
        <v>112</v>
      </c>
      <c r="I12" s="20" t="n">
        <v>3</v>
      </c>
      <c r="J12" s="21" t="n">
        <v>1626.81</v>
      </c>
      <c r="K12" s="39" t="n">
        <v>59</v>
      </c>
      <c r="L12" s="22" t="n">
        <v>17829.21</v>
      </c>
      <c r="M12" s="22" t="n">
        <v>7338.72</v>
      </c>
      <c r="N12" s="22" t="n">
        <v>9598.16</v>
      </c>
      <c r="O12" s="22" t="n">
        <v>637.5</v>
      </c>
      <c r="P12" s="22" t="n">
        <v>6708.38</v>
      </c>
      <c r="Q12" s="21" t="n">
        <v>42111.97</v>
      </c>
      <c r="R12" s="20" t="n">
        <v>51</v>
      </c>
      <c r="S12" s="21" t="n">
        <v>28364.67</v>
      </c>
      <c r="T12" s="22" t="n">
        <v>72103.45</v>
      </c>
      <c r="U12" s="23" t="n">
        <v>0.022562</v>
      </c>
      <c r="V12" s="23" t="n">
        <v>0.584049</v>
      </c>
      <c r="W12" s="23" t="n">
        <v>0.393389</v>
      </c>
      <c r="X12" s="40" t="n">
        <v>10</v>
      </c>
      <c r="Y12" s="18" t="n"/>
      <c r="Z12" s="18" t="inlineStr">
        <is>
          <t>NÃO</t>
        </is>
      </c>
    </row>
    <row r="13">
      <c r="A13" s="18" t="inlineStr">
        <is>
          <t>71/ALVLT</t>
        </is>
      </c>
      <c r="B13" s="18" t="inlineStr">
        <is>
          <t>SPE RESIDENCIAL OURILANDIA LTDA</t>
        </is>
      </c>
      <c r="C13" s="18" t="inlineStr">
        <is>
          <t>141</t>
        </is>
      </c>
      <c r="D13" s="18" t="inlineStr">
        <is>
          <t>RAIMUNDO DA SILVA CRUZ FILHO</t>
        </is>
      </c>
      <c r="E13" s="25" t="inlineStr">
        <is>
          <t>QUADRA 38/LOTE 24</t>
        </is>
      </c>
      <c r="F13" s="38" t="inlineStr">
        <is>
          <t>INADIMPLENTE</t>
        </is>
      </c>
      <c r="G13" s="22" t="n">
        <v>291.67</v>
      </c>
      <c r="H13" s="20" t="n">
        <v>120</v>
      </c>
      <c r="I13" s="20" t="n">
        <v>17</v>
      </c>
      <c r="J13" s="21" t="n">
        <v>5510.37</v>
      </c>
      <c r="K13" s="39" t="n">
        <v>48</v>
      </c>
      <c r="L13" s="22" t="n">
        <v>14000.16</v>
      </c>
      <c r="M13" s="22" t="n">
        <v>8177.01</v>
      </c>
      <c r="N13" s="22" t="n">
        <v>6442.16</v>
      </c>
      <c r="O13" s="22" t="n">
        <v>533.33</v>
      </c>
      <c r="P13" s="22" t="n">
        <v>4488.329999999998</v>
      </c>
      <c r="Q13" s="21" t="n">
        <v>33640.99</v>
      </c>
      <c r="R13" s="20" t="n">
        <v>55</v>
      </c>
      <c r="S13" s="21" t="n">
        <v>31584.85</v>
      </c>
      <c r="T13" s="22" t="n">
        <v>70736.21000000001</v>
      </c>
      <c r="U13" s="23" t="n">
        <v>0.0779</v>
      </c>
      <c r="V13" s="23" t="n">
        <v>0.475584</v>
      </c>
      <c r="W13" s="23" t="n">
        <v>0.446516</v>
      </c>
      <c r="X13" s="40" t="n">
        <v>22</v>
      </c>
      <c r="Y13" s="18" t="n"/>
      <c r="Z13" s="18" t="inlineStr">
        <is>
          <t>NÃO</t>
        </is>
      </c>
    </row>
    <row r="14">
      <c r="A14" s="18" t="inlineStr">
        <is>
          <t>71/ALVLT</t>
        </is>
      </c>
      <c r="B14" s="18" t="inlineStr">
        <is>
          <t>SPE RESIDENCIAL OURILANDIA LTDA</t>
        </is>
      </c>
      <c r="C14" s="18" t="inlineStr">
        <is>
          <t>108</t>
        </is>
      </c>
      <c r="D14" s="18" t="inlineStr">
        <is>
          <t>ANTONIO GOMES DE CASTRO</t>
        </is>
      </c>
      <c r="E14" s="25" t="inlineStr">
        <is>
          <t>QUADRA 21/LOTE 09</t>
        </is>
      </c>
      <c r="F14" s="38" t="inlineStr">
        <is>
          <t>INADIMPLENTE</t>
        </is>
      </c>
      <c r="G14" s="22" t="n">
        <v>333.33</v>
      </c>
      <c r="H14" s="20" t="n">
        <v>120</v>
      </c>
      <c r="I14" s="20" t="n">
        <v>5</v>
      </c>
      <c r="J14" s="21" t="n">
        <v>2770.82</v>
      </c>
      <c r="K14" s="39" t="n">
        <v>43</v>
      </c>
      <c r="L14" s="22" t="n">
        <v>14333.19</v>
      </c>
      <c r="M14" s="22" t="n">
        <v>2250.22</v>
      </c>
      <c r="N14" s="22" t="n">
        <v>4274.07</v>
      </c>
      <c r="O14" s="22" t="n">
        <v>392.01</v>
      </c>
      <c r="P14" s="22" t="n">
        <v>3016.1</v>
      </c>
      <c r="Q14" s="21" t="n">
        <v>24265.59</v>
      </c>
      <c r="R14" s="20" t="n">
        <v>76</v>
      </c>
      <c r="S14" s="21" t="n">
        <v>35038.28</v>
      </c>
      <c r="T14" s="22" t="n">
        <v>62074.69</v>
      </c>
      <c r="U14" s="23" t="n">
        <v>0.044637</v>
      </c>
      <c r="V14" s="23" t="n">
        <v>0.39091</v>
      </c>
      <c r="W14" s="23" t="n">
        <v>0.564454</v>
      </c>
      <c r="X14" s="40" t="n">
        <v>26</v>
      </c>
      <c r="Y14" s="18" t="n"/>
      <c r="Z14" s="18" t="inlineStr">
        <is>
          <t>NÃO</t>
        </is>
      </c>
    </row>
    <row r="15">
      <c r="A15" s="18" t="inlineStr">
        <is>
          <t>71/ALVLT</t>
        </is>
      </c>
      <c r="B15" s="18" t="inlineStr">
        <is>
          <t>SPE RESIDENCIAL OURILANDIA LTDA</t>
        </is>
      </c>
      <c r="C15" s="18" t="inlineStr">
        <is>
          <t>188</t>
        </is>
      </c>
      <c r="D15" s="18" t="inlineStr">
        <is>
          <t>ABMAEL DA SILVA GOMES</t>
        </is>
      </c>
      <c r="E15" s="25" t="inlineStr">
        <is>
          <t>QUADRA 22/LOTE 13 PARCELA 10/36</t>
        </is>
      </c>
      <c r="F15" s="38" t="inlineStr">
        <is>
          <t>INADIMPLENTE</t>
        </is>
      </c>
      <c r="G15" s="22" t="n">
        <v>450</v>
      </c>
      <c r="H15" s="20" t="n">
        <v>36</v>
      </c>
      <c r="I15" s="20" t="n">
        <v>1</v>
      </c>
      <c r="J15" s="21" t="n">
        <v>450</v>
      </c>
      <c r="K15" s="39" t="n">
        <v>35</v>
      </c>
      <c r="L15" s="22" t="n">
        <v>15750</v>
      </c>
      <c r="M15" s="22" t="n">
        <v>1789.92</v>
      </c>
      <c r="N15" s="22" t="n">
        <v>4258.89</v>
      </c>
      <c r="O15" s="22" t="n">
        <v>411.87</v>
      </c>
      <c r="P15" s="22" t="n">
        <v>3053.88</v>
      </c>
      <c r="Q15" s="21" t="n">
        <v>25264.56</v>
      </c>
      <c r="R15" s="20" t="n">
        <v>0</v>
      </c>
      <c r="S15" s="21" t="n">
        <v>0</v>
      </c>
      <c r="T15" s="22" t="n">
        <v>25714.56</v>
      </c>
      <c r="U15" s="23" t="n">
        <v>0.0175</v>
      </c>
      <c r="V15" s="23" t="n">
        <v>0.9825</v>
      </c>
      <c r="W15" s="23" t="n">
        <v>0</v>
      </c>
      <c r="X15" s="40" t="n">
        <v>28</v>
      </c>
      <c r="Y15" s="18" t="n"/>
      <c r="Z15" s="18" t="inlineStr">
        <is>
          <t>NÃO</t>
        </is>
      </c>
    </row>
    <row r="16">
      <c r="A16" s="18" t="inlineStr">
        <is>
          <t>71/ALVLT</t>
        </is>
      </c>
      <c r="B16" s="18" t="inlineStr">
        <is>
          <t>SPE RESIDENCIAL OURILANDIA LTDA</t>
        </is>
      </c>
      <c r="C16" s="18" t="inlineStr">
        <is>
          <t>133</t>
        </is>
      </c>
      <c r="D16" s="18" t="inlineStr">
        <is>
          <t>JOSE RIBAMAR LOPES FILHO</t>
        </is>
      </c>
      <c r="E16" s="25" t="inlineStr">
        <is>
          <t>QUADRA 21/LOTE 13</t>
        </is>
      </c>
      <c r="F16" s="38" t="inlineStr">
        <is>
          <t>INADIMPLENTE</t>
        </is>
      </c>
      <c r="G16" s="22" t="n">
        <v>295.12</v>
      </c>
      <c r="H16" s="20" t="n">
        <v>105</v>
      </c>
      <c r="I16" s="20" t="n">
        <v>25</v>
      </c>
      <c r="J16" s="21" t="n">
        <v>5528.75</v>
      </c>
      <c r="K16" s="39" t="n">
        <v>34</v>
      </c>
      <c r="L16" s="22" t="n">
        <v>10034.08</v>
      </c>
      <c r="M16" s="22" t="n">
        <v>1421.6</v>
      </c>
      <c r="N16" s="22" t="n">
        <v>2185.12</v>
      </c>
      <c r="O16" s="22" t="n">
        <v>252.53</v>
      </c>
      <c r="P16" s="22" t="n">
        <v>1562.73</v>
      </c>
      <c r="Q16" s="21" t="n">
        <v>15456.06</v>
      </c>
      <c r="R16" s="20" t="n">
        <v>69</v>
      </c>
      <c r="S16" s="21" t="n">
        <v>27112.86</v>
      </c>
      <c r="T16" s="22" t="n">
        <v>48097.67</v>
      </c>
      <c r="U16" s="23" t="n">
        <v>0.114948</v>
      </c>
      <c r="V16" s="23" t="n">
        <v>0.321347</v>
      </c>
      <c r="W16" s="23" t="n">
        <v>0.563704</v>
      </c>
      <c r="X16" s="40" t="n">
        <v>5</v>
      </c>
      <c r="Y16" s="18" t="n"/>
      <c r="Z16" s="18" t="inlineStr">
        <is>
          <t>NÃO</t>
        </is>
      </c>
    </row>
    <row r="17">
      <c r="A17" s="18" t="inlineStr">
        <is>
          <t>71/ALVLT</t>
        </is>
      </c>
      <c r="B17" s="18" t="inlineStr">
        <is>
          <t>SPE RESIDENCIAL OURILANDIA LTDA</t>
        </is>
      </c>
      <c r="C17" s="18" t="inlineStr">
        <is>
          <t>9</t>
        </is>
      </c>
      <c r="D17" s="18" t="inlineStr">
        <is>
          <t>WELTON ROCHA ASSEN O</t>
        </is>
      </c>
      <c r="E17" s="25" t="inlineStr">
        <is>
          <t>QUADRA 12/LOTE 03</t>
        </is>
      </c>
      <c r="F17" s="38" t="inlineStr">
        <is>
          <t>INADIMPLENTE</t>
        </is>
      </c>
      <c r="G17" s="22" t="n">
        <v>208.33</v>
      </c>
      <c r="H17" s="20" t="n">
        <v>120</v>
      </c>
      <c r="I17" s="20" t="n">
        <v>71</v>
      </c>
      <c r="J17" s="21" t="n">
        <v>18490.79</v>
      </c>
      <c r="K17" s="39" t="n">
        <v>34</v>
      </c>
      <c r="L17" s="22" t="n">
        <v>7083.22</v>
      </c>
      <c r="M17" s="22" t="n">
        <v>7481.8</v>
      </c>
      <c r="N17" s="22" t="n">
        <v>2943.45</v>
      </c>
      <c r="O17" s="22" t="n">
        <v>333.45</v>
      </c>
      <c r="P17" s="22" t="n">
        <v>2108.569999999999</v>
      </c>
      <c r="Q17" s="21" t="n">
        <v>19950.49</v>
      </c>
      <c r="R17" s="20" t="n">
        <v>15</v>
      </c>
      <c r="S17" s="21" t="n">
        <v>7325.440000000001</v>
      </c>
      <c r="T17" s="22" t="n">
        <v>45766.72</v>
      </c>
      <c r="U17" s="23" t="n">
        <v>0.404023</v>
      </c>
      <c r="V17" s="23" t="n">
        <v>0.435917</v>
      </c>
      <c r="W17" s="23" t="n">
        <v>0.16006</v>
      </c>
      <c r="X17" s="40" t="n">
        <v>10</v>
      </c>
      <c r="Y17" s="18" t="n"/>
      <c r="Z17" s="18" t="inlineStr">
        <is>
          <t>NÃO</t>
        </is>
      </c>
    </row>
    <row r="18">
      <c r="A18" s="18" t="inlineStr">
        <is>
          <t>71/ALVLT</t>
        </is>
      </c>
      <c r="B18" s="18" t="inlineStr">
        <is>
          <t>SPE RESIDENCIAL OURILANDIA LTDA</t>
        </is>
      </c>
      <c r="C18" s="18" t="inlineStr">
        <is>
          <t>119</t>
        </is>
      </c>
      <c r="D18" s="18" t="inlineStr">
        <is>
          <t>WALNEY COELHO NETO</t>
        </is>
      </c>
      <c r="E18" s="25" t="inlineStr">
        <is>
          <t>QUADRA 34/LOTE 08</t>
        </is>
      </c>
      <c r="F18" s="38" t="inlineStr">
        <is>
          <t>INADIMPLENTE</t>
        </is>
      </c>
      <c r="G18" s="22" t="n">
        <v>200.7</v>
      </c>
      <c r="H18" s="20" t="n">
        <v>165</v>
      </c>
      <c r="I18" s="20" t="n">
        <v>39</v>
      </c>
      <c r="J18" s="21" t="n">
        <v>8216.280000000001</v>
      </c>
      <c r="K18" s="39" t="n">
        <v>33</v>
      </c>
      <c r="L18" s="22" t="n">
        <v>6993.7</v>
      </c>
      <c r="M18" s="22" t="n">
        <v>3065.99</v>
      </c>
      <c r="N18" s="22" t="n">
        <v>1980.61</v>
      </c>
      <c r="O18" s="22" t="n">
        <v>229.42</v>
      </c>
      <c r="P18" s="22" t="n">
        <v>1411.74</v>
      </c>
      <c r="Q18" s="21" t="n">
        <v>13681.46</v>
      </c>
      <c r="R18" s="20" t="n">
        <v>104</v>
      </c>
      <c r="S18" s="21" t="n">
        <v>36421.84</v>
      </c>
      <c r="T18" s="22" t="n">
        <v>58319.58</v>
      </c>
      <c r="U18" s="23" t="n">
        <v>0.140884</v>
      </c>
      <c r="V18" s="23" t="n">
        <v>0.234595</v>
      </c>
      <c r="W18" s="23" t="n">
        <v>0.624522</v>
      </c>
      <c r="X18" s="40" t="n">
        <v>30</v>
      </c>
      <c r="Y18" s="18" t="n"/>
      <c r="Z18" s="18" t="inlineStr">
        <is>
          <t>NÃO</t>
        </is>
      </c>
    </row>
    <row r="19">
      <c r="A19" s="18" t="inlineStr">
        <is>
          <t>71/ALVLT</t>
        </is>
      </c>
      <c r="B19" s="18" t="inlineStr">
        <is>
          <t>SPE RESIDENCIAL OURILANDIA LTDA</t>
        </is>
      </c>
      <c r="C19" s="18" t="inlineStr">
        <is>
          <t>199</t>
        </is>
      </c>
      <c r="D19" s="18" t="inlineStr">
        <is>
          <t>MARCELO SOUZA FREITAS</t>
        </is>
      </c>
      <c r="E19" s="25" t="inlineStr">
        <is>
          <t>QUADRA 18/LOTE 25 PARCELA 10/48</t>
        </is>
      </c>
      <c r="F19" s="38" t="inlineStr">
        <is>
          <t>INADIMPLENTE</t>
        </is>
      </c>
      <c r="G19" s="22" t="n">
        <v>479.17</v>
      </c>
      <c r="H19" s="20" t="n">
        <v>48</v>
      </c>
      <c r="I19" s="20" t="n">
        <v>0</v>
      </c>
      <c r="J19" s="21" t="n">
        <v>0</v>
      </c>
      <c r="K19" s="39" t="n">
        <v>32</v>
      </c>
      <c r="L19" s="22" t="n">
        <v>15333.44</v>
      </c>
      <c r="M19" s="22" t="n">
        <v>1660.36</v>
      </c>
      <c r="N19" s="22" t="n">
        <v>3192.83</v>
      </c>
      <c r="O19" s="22" t="n">
        <v>385.46</v>
      </c>
      <c r="P19" s="22" t="n">
        <v>2278.659999999999</v>
      </c>
      <c r="Q19" s="21" t="n">
        <v>22850.75</v>
      </c>
      <c r="R19" s="20" t="n">
        <v>16</v>
      </c>
      <c r="S19" s="21" t="n">
        <v>9658.559999999999</v>
      </c>
      <c r="T19" s="22" t="n">
        <v>32509.31</v>
      </c>
      <c r="U19" s="23" t="n">
        <v>0</v>
      </c>
      <c r="V19" s="23" t="n">
        <v>0.7028990000000001</v>
      </c>
      <c r="W19" s="23" t="n">
        <v>0.297101</v>
      </c>
      <c r="X19" s="40" t="n">
        <v>12</v>
      </c>
      <c r="Y19" s="18" t="n"/>
      <c r="Z19" s="18" t="inlineStr">
        <is>
          <t>NÃO</t>
        </is>
      </c>
    </row>
    <row r="20">
      <c r="A20" s="18" t="inlineStr">
        <is>
          <t>71/ALVLT</t>
        </is>
      </c>
      <c r="B20" s="18" t="inlineStr">
        <is>
          <t>SPE RESIDENCIAL OURILANDIA LTDA</t>
        </is>
      </c>
      <c r="C20" s="18" t="inlineStr">
        <is>
          <t>169</t>
        </is>
      </c>
      <c r="D20" s="18" t="inlineStr">
        <is>
          <t>VERONICA ALVES DOS SANTOS</t>
        </is>
      </c>
      <c r="E20" s="25" t="inlineStr">
        <is>
          <t>QUADRA 22/LOTE 14</t>
        </is>
      </c>
      <c r="F20" s="38" t="inlineStr">
        <is>
          <t>INADIMPLENTE</t>
        </is>
      </c>
      <c r="G20" s="22" t="n">
        <v>450</v>
      </c>
      <c r="H20" s="20" t="n">
        <v>36</v>
      </c>
      <c r="I20" s="20" t="n">
        <v>10</v>
      </c>
      <c r="J20" s="21" t="n">
        <v>4811.25</v>
      </c>
      <c r="K20" s="39" t="n">
        <v>26</v>
      </c>
      <c r="L20" s="22" t="n">
        <v>11700</v>
      </c>
      <c r="M20" s="22" t="n">
        <v>1533.96</v>
      </c>
      <c r="N20" s="22" t="n">
        <v>3689.17</v>
      </c>
      <c r="O20" s="22" t="n">
        <v>318.84</v>
      </c>
      <c r="P20" s="22" t="n">
        <v>2708.08</v>
      </c>
      <c r="Q20" s="21" t="n">
        <v>19950.05</v>
      </c>
      <c r="R20" s="20" t="n">
        <v>0</v>
      </c>
      <c r="S20" s="21" t="n">
        <v>0</v>
      </c>
      <c r="T20" s="22" t="n">
        <v>24761.3</v>
      </c>
      <c r="U20" s="23" t="n">
        <v>0.194305</v>
      </c>
      <c r="V20" s="23" t="n">
        <v>0.8056950000000001</v>
      </c>
      <c r="W20" s="23" t="n">
        <v>0</v>
      </c>
      <c r="X20" s="40" t="n">
        <v>1</v>
      </c>
      <c r="Y20" s="18" t="n"/>
      <c r="Z20" s="18" t="inlineStr">
        <is>
          <t>NÃO</t>
        </is>
      </c>
    </row>
    <row r="21">
      <c r="A21" s="18" t="inlineStr">
        <is>
          <t>71/ALVLT</t>
        </is>
      </c>
      <c r="B21" s="18" t="inlineStr">
        <is>
          <t>SPE RESIDENCIAL OURILANDIA LTDA</t>
        </is>
      </c>
      <c r="C21" s="18" t="inlineStr">
        <is>
          <t>224</t>
        </is>
      </c>
      <c r="D21" s="18" t="inlineStr">
        <is>
          <t>A DE OLIVEIRA SOUZA SUPERMERCADO</t>
        </is>
      </c>
      <c r="E21" s="25" t="inlineStr">
        <is>
          <t>QUADRA 21/LOTE 30 PARCELA 10/48</t>
        </is>
      </c>
      <c r="F21" s="38" t="inlineStr">
        <is>
          <t>INADIMPLENTE</t>
        </is>
      </c>
      <c r="G21" s="22" t="n">
        <v>500</v>
      </c>
      <c r="H21" s="20" t="n">
        <v>48</v>
      </c>
      <c r="I21" s="20" t="n">
        <v>1</v>
      </c>
      <c r="J21" s="21" t="n">
        <v>516.5</v>
      </c>
      <c r="K21" s="39" t="n">
        <v>19</v>
      </c>
      <c r="L21" s="22" t="n">
        <v>9500</v>
      </c>
      <c r="M21" s="22" t="n">
        <v>429.38</v>
      </c>
      <c r="N21" s="22" t="n">
        <v>914.83</v>
      </c>
      <c r="O21" s="22" t="n">
        <v>198.61</v>
      </c>
      <c r="P21" s="22" t="n">
        <v>-5.684341886080801e-13</v>
      </c>
      <c r="Q21" s="21" t="n">
        <v>11042.82</v>
      </c>
      <c r="R21" s="20" t="n">
        <v>28</v>
      </c>
      <c r="S21" s="21" t="n">
        <v>15717.52</v>
      </c>
      <c r="T21" s="22" t="n">
        <v>27276.84</v>
      </c>
      <c r="U21" s="23" t="n">
        <v>0.018935</v>
      </c>
      <c r="V21" s="23" t="n">
        <v>0.404842</v>
      </c>
      <c r="W21" s="23" t="n">
        <v>0.576222</v>
      </c>
      <c r="X21" s="40" t="n">
        <v>25</v>
      </c>
      <c r="Y21" s="18" t="n"/>
      <c r="Z21" s="18" t="inlineStr">
        <is>
          <t>NÃO</t>
        </is>
      </c>
    </row>
    <row r="22">
      <c r="A22" s="18" t="inlineStr">
        <is>
          <t>71/ALVLT</t>
        </is>
      </c>
      <c r="B22" s="18" t="inlineStr">
        <is>
          <t>SPE RESIDENCIAL OURILANDIA LTDA</t>
        </is>
      </c>
      <c r="C22" s="18" t="inlineStr">
        <is>
          <t>168</t>
        </is>
      </c>
      <c r="D22" s="18" t="inlineStr">
        <is>
          <t>JOSE PERREIRA DA SILVA</t>
        </is>
      </c>
      <c r="E22" s="25" t="inlineStr">
        <is>
          <t>QUADRA 19/LOTE 01</t>
        </is>
      </c>
      <c r="F22" s="38" t="inlineStr">
        <is>
          <t>INADIMPLENTE</t>
        </is>
      </c>
      <c r="G22" s="22" t="n">
        <v>450.11</v>
      </c>
      <c r="H22" s="20" t="n">
        <v>48</v>
      </c>
      <c r="I22" s="20" t="n">
        <v>4</v>
      </c>
      <c r="J22" s="21" t="n">
        <v>1492.46</v>
      </c>
      <c r="K22" s="39" t="n">
        <v>10</v>
      </c>
      <c r="L22" s="22" t="n">
        <v>4436.54</v>
      </c>
      <c r="M22" s="22" t="n">
        <v>0</v>
      </c>
      <c r="N22" s="22" t="n">
        <v>246.86</v>
      </c>
      <c r="O22" s="22" t="n">
        <v>91.23</v>
      </c>
      <c r="P22" s="22" t="n">
        <v>125.1999999999999</v>
      </c>
      <c r="Q22" s="21" t="n">
        <v>4899.83</v>
      </c>
      <c r="R22" s="20" t="n">
        <v>37</v>
      </c>
      <c r="S22" s="21" t="n">
        <v>16654.07</v>
      </c>
      <c r="T22" s="22" t="n">
        <v>23046.36</v>
      </c>
      <c r="U22" s="23" t="n">
        <v>0.064759</v>
      </c>
      <c r="V22" s="23" t="n">
        <v>0.212608</v>
      </c>
      <c r="W22" s="23" t="n">
        <v>0.722633</v>
      </c>
      <c r="X22" s="40" t="n">
        <v>10</v>
      </c>
      <c r="Y22" s="18" t="n"/>
      <c r="Z22" s="18" t="inlineStr">
        <is>
          <t>NÃO</t>
        </is>
      </c>
    </row>
    <row r="23">
      <c r="A23" s="18" t="inlineStr">
        <is>
          <t>71/ALVLT</t>
        </is>
      </c>
      <c r="B23" s="18" t="inlineStr">
        <is>
          <t>SPE RESIDENCIAL OURILANDIA LTDA</t>
        </is>
      </c>
      <c r="C23" s="18" t="inlineStr">
        <is>
          <t>200</t>
        </is>
      </c>
      <c r="D23" s="18" t="inlineStr">
        <is>
          <t>DIVINO FRANCA DE SOUSA</t>
        </is>
      </c>
      <c r="E23" s="25" t="inlineStr">
        <is>
          <t>QUADRA 21/LOTE 19</t>
        </is>
      </c>
      <c r="F23" s="38" t="inlineStr">
        <is>
          <t>INADIMPLENTE</t>
        </is>
      </c>
      <c r="G23" s="22" t="n">
        <v>479.17</v>
      </c>
      <c r="H23" s="20" t="n">
        <v>48</v>
      </c>
      <c r="I23" s="20" t="n">
        <v>21</v>
      </c>
      <c r="J23" s="21" t="n">
        <v>10748.4</v>
      </c>
      <c r="K23" s="39" t="n">
        <v>10</v>
      </c>
      <c r="L23" s="22" t="n">
        <v>4791.7</v>
      </c>
      <c r="M23" s="22" t="n">
        <v>1057.28</v>
      </c>
      <c r="N23" s="22" t="n">
        <v>321.65</v>
      </c>
      <c r="O23" s="22" t="n">
        <v>120.23</v>
      </c>
      <c r="P23" s="22" t="n">
        <v>162.4300000000003</v>
      </c>
      <c r="Q23" s="21" t="n">
        <v>6453.29</v>
      </c>
      <c r="R23" s="20" t="n">
        <v>17</v>
      </c>
      <c r="S23" s="21" t="n">
        <v>10298.94</v>
      </c>
      <c r="T23" s="22" t="n">
        <v>27500.63</v>
      </c>
      <c r="U23" s="23" t="n">
        <v>0.390842</v>
      </c>
      <c r="V23" s="23" t="n">
        <v>0.23466</v>
      </c>
      <c r="W23" s="23" t="n">
        <v>0.374498</v>
      </c>
      <c r="X23" s="40" t="n">
        <v>10</v>
      </c>
      <c r="Y23" s="18" t="n"/>
      <c r="Z23" s="18" t="inlineStr">
        <is>
          <t>NÃO</t>
        </is>
      </c>
    </row>
    <row r="24">
      <c r="A24" s="18" t="inlineStr">
        <is>
          <t>71/ALVLT</t>
        </is>
      </c>
      <c r="B24" s="18" t="inlineStr">
        <is>
          <t>SPE RESIDENCIAL OURILANDIA LTDA</t>
        </is>
      </c>
      <c r="C24" s="18" t="inlineStr">
        <is>
          <t>143</t>
        </is>
      </c>
      <c r="D24" s="18" t="inlineStr">
        <is>
          <t>MANOEL RAILSON BATISTA CARVALHO</t>
        </is>
      </c>
      <c r="E24" s="25" t="inlineStr">
        <is>
          <t>QUADRA 28/LOTE 03</t>
        </is>
      </c>
      <c r="F24" s="38" t="inlineStr">
        <is>
          <t>INADIMPLENTE</t>
        </is>
      </c>
      <c r="G24" s="22" t="n">
        <v>98.04000000000001</v>
      </c>
      <c r="H24" s="20" t="n">
        <v>204</v>
      </c>
      <c r="I24" s="20" t="n">
        <v>50</v>
      </c>
      <c r="J24" s="21" t="n">
        <v>9101.93</v>
      </c>
      <c r="K24" s="39" t="n">
        <v>9</v>
      </c>
      <c r="L24" s="22" t="n">
        <v>1502.84</v>
      </c>
      <c r="M24" s="22" t="n">
        <v>784.8000000000001</v>
      </c>
      <c r="N24" s="22" t="n">
        <v>47.4</v>
      </c>
      <c r="O24" s="22" t="n">
        <v>45.94</v>
      </c>
      <c r="P24" s="22" t="n">
        <v>10.14999999999991</v>
      </c>
      <c r="Q24" s="21" t="n">
        <v>2391.13</v>
      </c>
      <c r="R24" s="20" t="n">
        <v>108</v>
      </c>
      <c r="S24" s="21" t="n">
        <v>27810.25</v>
      </c>
      <c r="T24" s="22" t="n">
        <v>39303.31</v>
      </c>
      <c r="U24" s="23" t="n">
        <v>0.231582</v>
      </c>
      <c r="V24" s="23" t="n">
        <v>0.060838</v>
      </c>
      <c r="W24" s="23" t="n">
        <v>0.70758</v>
      </c>
      <c r="X24" s="40" t="n">
        <v>28</v>
      </c>
      <c r="Y24" s="18" t="n"/>
      <c r="Z24" s="18" t="inlineStr">
        <is>
          <t>NÃO</t>
        </is>
      </c>
    </row>
    <row r="25">
      <c r="A25" s="18" t="inlineStr">
        <is>
          <t>71/ALVLT</t>
        </is>
      </c>
      <c r="B25" s="18" t="inlineStr">
        <is>
          <t>SPE RESIDENCIAL OURILANDIA LTDA</t>
        </is>
      </c>
      <c r="C25" s="18" t="inlineStr">
        <is>
          <t>105</t>
        </is>
      </c>
      <c r="D25" s="18" t="inlineStr">
        <is>
          <t>VANDEIR DA SILVA</t>
        </is>
      </c>
      <c r="E25" s="25" t="inlineStr">
        <is>
          <t>QUADRA 33/LOTE 11</t>
        </is>
      </c>
      <c r="F25" s="38" t="inlineStr">
        <is>
          <t>INADIMPLENTE</t>
        </is>
      </c>
      <c r="G25" s="22" t="n">
        <v>319.87</v>
      </c>
      <c r="H25" s="20" t="n">
        <v>138</v>
      </c>
      <c r="I25" s="20" t="n">
        <v>65</v>
      </c>
      <c r="J25" s="21" t="n">
        <v>17430.56</v>
      </c>
      <c r="K25" s="39" t="n">
        <v>8</v>
      </c>
      <c r="L25" s="22" t="n">
        <v>2888.52</v>
      </c>
      <c r="M25" s="22" t="n">
        <v>464.44</v>
      </c>
      <c r="N25" s="22" t="n">
        <v>64.56</v>
      </c>
      <c r="O25" s="22" t="n">
        <v>67.44</v>
      </c>
      <c r="P25" s="22" t="n">
        <v>19.01999999999981</v>
      </c>
      <c r="Q25" s="21" t="n">
        <v>3503.98</v>
      </c>
      <c r="R25" s="20" t="n">
        <v>107</v>
      </c>
      <c r="S25" s="21" t="n">
        <v>44986.42000000001</v>
      </c>
      <c r="T25" s="22" t="n">
        <v>65920.96000000001</v>
      </c>
      <c r="U25" s="23" t="n">
        <v>0.264416</v>
      </c>
      <c r="V25" s="23" t="n">
        <v>0.053154</v>
      </c>
      <c r="W25" s="23" t="n">
        <v>0.68243</v>
      </c>
      <c r="X25" s="40" t="n">
        <v>24</v>
      </c>
      <c r="Y25" s="18" t="n"/>
      <c r="Z25" s="18" t="inlineStr">
        <is>
          <t>NÃO</t>
        </is>
      </c>
    </row>
    <row r="26">
      <c r="A26" s="18" t="inlineStr">
        <is>
          <t>71/ALVLT</t>
        </is>
      </c>
      <c r="B26" s="18" t="inlineStr">
        <is>
          <t>SPE RESIDENCIAL OURILANDIA LTDA</t>
        </is>
      </c>
      <c r="C26" s="18" t="inlineStr">
        <is>
          <t>111</t>
        </is>
      </c>
      <c r="D26" s="18" t="inlineStr">
        <is>
          <t>JOÃO FRANÇA DE SOUSA</t>
        </is>
      </c>
      <c r="E26" s="25" t="inlineStr">
        <is>
          <t>QUADRA 21/LOTE 18</t>
        </is>
      </c>
      <c r="F26" s="38" t="inlineStr">
        <is>
          <t>INADIMPLENTE</t>
        </is>
      </c>
      <c r="G26" s="22" t="n">
        <v>156.25</v>
      </c>
      <c r="H26" s="20" t="n">
        <v>192</v>
      </c>
      <c r="I26" s="20" t="n">
        <v>84</v>
      </c>
      <c r="J26" s="21" t="n">
        <v>19446.47</v>
      </c>
      <c r="K26" s="39" t="n">
        <v>8</v>
      </c>
      <c r="L26" s="22" t="n">
        <v>1250</v>
      </c>
      <c r="M26" s="22" t="n">
        <v>1616.4</v>
      </c>
      <c r="N26" s="22" t="n">
        <v>104.47</v>
      </c>
      <c r="O26" s="22" t="n">
        <v>51.12</v>
      </c>
      <c r="P26" s="22" t="n">
        <v>47.39999999999992</v>
      </c>
      <c r="Q26" s="21" t="n">
        <v>3069.39</v>
      </c>
      <c r="R26" s="20" t="n">
        <v>100</v>
      </c>
      <c r="S26" s="21" t="n">
        <v>35830</v>
      </c>
      <c r="T26" s="22" t="n">
        <v>58345.86</v>
      </c>
      <c r="U26" s="23" t="n">
        <v>0.333296</v>
      </c>
      <c r="V26" s="23" t="n">
        <v>0.052607</v>
      </c>
      <c r="W26" s="23" t="n">
        <v>0.614097</v>
      </c>
      <c r="X26" s="40" t="n">
        <v>5</v>
      </c>
      <c r="Y26" s="18" t="n"/>
      <c r="Z26" s="18" t="inlineStr">
        <is>
          <t>NÃO</t>
        </is>
      </c>
    </row>
    <row r="27">
      <c r="A27" s="18" t="inlineStr">
        <is>
          <t>71/ALVLT</t>
        </is>
      </c>
      <c r="B27" s="18" t="inlineStr">
        <is>
          <t>SPE RESIDENCIAL OURILANDIA LTDA</t>
        </is>
      </c>
      <c r="C27" s="18" t="inlineStr">
        <is>
          <t>128</t>
        </is>
      </c>
      <c r="D27" s="18" t="inlineStr">
        <is>
          <t>JOSIMAR CANDIDO DA SILVA</t>
        </is>
      </c>
      <c r="E27" s="25" t="inlineStr">
        <is>
          <t>QUADRA 21/LOTE 12</t>
        </is>
      </c>
      <c r="F27" s="38" t="inlineStr">
        <is>
          <t>INADIMPLENTE</t>
        </is>
      </c>
      <c r="G27" s="22" t="n">
        <v>153.51</v>
      </c>
      <c r="H27" s="20" t="n">
        <v>192</v>
      </c>
      <c r="I27" s="20" t="n">
        <v>68</v>
      </c>
      <c r="J27" s="21" t="n">
        <v>15567.38</v>
      </c>
      <c r="K27" s="39" t="n">
        <v>8</v>
      </c>
      <c r="L27" s="22" t="n">
        <v>1228.08</v>
      </c>
      <c r="M27" s="22" t="n">
        <v>1475.81</v>
      </c>
      <c r="N27" s="22" t="n">
        <v>143</v>
      </c>
      <c r="O27" s="22" t="n">
        <v>55.28</v>
      </c>
      <c r="P27" s="22" t="n">
        <v>61.73999999999981</v>
      </c>
      <c r="Q27" s="21" t="n">
        <v>2963.91</v>
      </c>
      <c r="R27" s="20" t="n">
        <v>118</v>
      </c>
      <c r="S27" s="21" t="n">
        <v>40792.6</v>
      </c>
      <c r="T27" s="22" t="n">
        <v>59323.89</v>
      </c>
      <c r="U27" s="23" t="n">
        <v>0.262413</v>
      </c>
      <c r="V27" s="23" t="n">
        <v>0.049961</v>
      </c>
      <c r="W27" s="23" t="n">
        <v>0.687625</v>
      </c>
      <c r="X27" s="40" t="n">
        <v>10</v>
      </c>
      <c r="Y27" s="18" t="n"/>
      <c r="Z27" s="18" t="inlineStr">
        <is>
          <t>NÃO</t>
        </is>
      </c>
    </row>
    <row r="28">
      <c r="A28" s="18" t="inlineStr">
        <is>
          <t>71/ALVLT</t>
        </is>
      </c>
      <c r="B28" s="18" t="inlineStr">
        <is>
          <t>SPE RESIDENCIAL OURILANDIA LTDA</t>
        </is>
      </c>
      <c r="C28" s="18" t="inlineStr">
        <is>
          <t>139</t>
        </is>
      </c>
      <c r="D28" s="18" t="inlineStr">
        <is>
          <t>ADRIANO DOS SANTOS NASCIMENTO</t>
        </is>
      </c>
      <c r="E28" s="25" t="inlineStr">
        <is>
          <t>QUADRA 20/LOTE 01</t>
        </is>
      </c>
      <c r="F28" s="38" t="inlineStr">
        <is>
          <t>INADIMPLENTE</t>
        </is>
      </c>
      <c r="G28" s="22" t="n">
        <v>337.44</v>
      </c>
      <c r="H28" s="20" t="n">
        <v>120</v>
      </c>
      <c r="I28" s="20" t="n">
        <v>28</v>
      </c>
      <c r="J28" s="21" t="n">
        <v>12733.27</v>
      </c>
      <c r="K28" s="39" t="n">
        <v>8</v>
      </c>
      <c r="L28" s="22" t="n">
        <v>2191.96</v>
      </c>
      <c r="M28" s="22" t="n">
        <v>333.8</v>
      </c>
      <c r="N28" s="22" t="n">
        <v>60.64</v>
      </c>
      <c r="O28" s="22" t="n">
        <v>50.91</v>
      </c>
      <c r="P28" s="22" t="n">
        <v>20.10000000000008</v>
      </c>
      <c r="Q28" s="21" t="n">
        <v>2657.41</v>
      </c>
      <c r="R28" s="20" t="n">
        <v>103</v>
      </c>
      <c r="S28" s="21" t="n">
        <v>40196.57</v>
      </c>
      <c r="T28" s="22" t="n">
        <v>55587.25</v>
      </c>
      <c r="U28" s="23" t="n">
        <v>0.229068</v>
      </c>
      <c r="V28" s="23" t="n">
        <v>0.047806</v>
      </c>
      <c r="W28" s="23" t="n">
        <v>0.723126</v>
      </c>
      <c r="X28" s="40" t="n">
        <v>10</v>
      </c>
      <c r="Y28" s="18" t="n"/>
      <c r="Z28" s="18" t="inlineStr">
        <is>
          <t>NÃO</t>
        </is>
      </c>
    </row>
    <row r="29">
      <c r="A29" s="18" t="inlineStr">
        <is>
          <t>71/ALVLT</t>
        </is>
      </c>
      <c r="B29" s="18" t="inlineStr">
        <is>
          <t>SPE RESIDENCIAL OURILANDIA LTDA</t>
        </is>
      </c>
      <c r="C29" s="18" t="inlineStr">
        <is>
          <t>234</t>
        </is>
      </c>
      <c r="D29" s="18" t="inlineStr">
        <is>
          <t>DIVINO FRANCA DE SOUSA</t>
        </is>
      </c>
      <c r="E29" s="25" t="inlineStr">
        <is>
          <t>QUADRA 21/LOTE 20</t>
        </is>
      </c>
      <c r="F29" s="38" t="inlineStr">
        <is>
          <t>INADIMPLENTE</t>
        </is>
      </c>
      <c r="G29" s="22" t="n">
        <v>497.78</v>
      </c>
      <c r="H29" s="20" t="n">
        <v>72</v>
      </c>
      <c r="I29" s="20" t="n">
        <v>4</v>
      </c>
      <c r="J29" s="21" t="n">
        <v>2088.38</v>
      </c>
      <c r="K29" s="39" t="n">
        <v>8</v>
      </c>
      <c r="L29" s="22" t="n">
        <v>3982.24</v>
      </c>
      <c r="M29" s="22" t="n">
        <v>0</v>
      </c>
      <c r="N29" s="22" t="n">
        <v>165.95</v>
      </c>
      <c r="O29" s="22" t="n">
        <v>79.68000000000001</v>
      </c>
      <c r="P29" s="22" t="n">
        <v>2.842170943040401e-13</v>
      </c>
      <c r="Q29" s="21" t="n">
        <v>4227.87</v>
      </c>
      <c r="R29" s="20" t="n">
        <v>60</v>
      </c>
      <c r="S29" s="21" t="n">
        <v>32634.6</v>
      </c>
      <c r="T29" s="22" t="n">
        <v>38950.85</v>
      </c>
      <c r="U29" s="23" t="n">
        <v>0.053616</v>
      </c>
      <c r="V29" s="23" t="n">
        <v>0.108544</v>
      </c>
      <c r="W29" s="23" t="n">
        <v>0.8378409999999999</v>
      </c>
      <c r="X29" s="40" t="n">
        <v>17</v>
      </c>
      <c r="Y29" s="18" t="n"/>
      <c r="Z29" s="18" t="inlineStr">
        <is>
          <t>NÃO</t>
        </is>
      </c>
    </row>
    <row r="30">
      <c r="A30" s="18" t="inlineStr">
        <is>
          <t>71/ALVLT</t>
        </is>
      </c>
      <c r="B30" s="18" t="inlineStr">
        <is>
          <t>SPE RESIDENCIAL OURILANDIA LTDA</t>
        </is>
      </c>
      <c r="C30" s="18" t="inlineStr">
        <is>
          <t>110</t>
        </is>
      </c>
      <c r="D30" s="18" t="inlineStr">
        <is>
          <t>JOSIMAR CANDIDO DA SILVA</t>
        </is>
      </c>
      <c r="E30" s="25" t="inlineStr">
        <is>
          <t>QUADRA 21/LOTE 11</t>
        </is>
      </c>
      <c r="F30" s="38" t="inlineStr">
        <is>
          <t>INADIMPLENTE</t>
        </is>
      </c>
      <c r="G30" s="22" t="n">
        <v>145.83</v>
      </c>
      <c r="H30" s="20" t="n">
        <v>192</v>
      </c>
      <c r="I30" s="20" t="n">
        <v>82</v>
      </c>
      <c r="J30" s="21" t="n">
        <v>19624.51</v>
      </c>
      <c r="K30" s="39" t="n">
        <v>5</v>
      </c>
      <c r="L30" s="22" t="n">
        <v>729.1500000000001</v>
      </c>
      <c r="M30" s="22" t="n">
        <v>865.8499999999999</v>
      </c>
      <c r="N30" s="22" t="n">
        <v>92.42999999999999</v>
      </c>
      <c r="O30" s="22" t="n">
        <v>32.84</v>
      </c>
      <c r="P30" s="22" t="n">
        <v>46.74999999999986</v>
      </c>
      <c r="Q30" s="21" t="n">
        <v>1767.02</v>
      </c>
      <c r="R30" s="20" t="n">
        <v>101</v>
      </c>
      <c r="S30" s="21" t="n">
        <v>33775.87</v>
      </c>
      <c r="T30" s="22" t="n">
        <v>55167.4</v>
      </c>
      <c r="U30" s="23" t="n">
        <v>0.355727</v>
      </c>
      <c r="V30" s="23" t="n">
        <v>0.03203</v>
      </c>
      <c r="W30" s="23" t="n">
        <v>0.612243</v>
      </c>
      <c r="X30" s="40" t="n">
        <v>29</v>
      </c>
      <c r="Y30" s="18" t="n"/>
      <c r="Z30" s="18" t="inlineStr">
        <is>
          <t>NÃO</t>
        </is>
      </c>
    </row>
    <row r="31">
      <c r="A31" s="18" t="inlineStr">
        <is>
          <t>71/ALVLT</t>
        </is>
      </c>
      <c r="B31" s="18" t="inlineStr">
        <is>
          <t>SPE RESIDENCIAL OURILANDIA LTDA</t>
        </is>
      </c>
      <c r="C31" s="18" t="inlineStr">
        <is>
          <t>239</t>
        </is>
      </c>
      <c r="D31" s="18" t="inlineStr">
        <is>
          <t>MARIA DIVINA DA SILVA MACEDO</t>
        </is>
      </c>
      <c r="E31" s="25" t="inlineStr">
        <is>
          <t>QUADRA 25/LOTE 02</t>
        </is>
      </c>
      <c r="F31" s="38" t="inlineStr">
        <is>
          <t>INADIMPLENTE</t>
        </is>
      </c>
      <c r="G31" s="22" t="n">
        <v>885.42</v>
      </c>
      <c r="H31" s="20" t="n">
        <v>48</v>
      </c>
      <c r="I31" s="20" t="n">
        <v>4</v>
      </c>
      <c r="J31" s="21" t="n">
        <v>3612.47</v>
      </c>
      <c r="K31" s="39" t="n">
        <v>5</v>
      </c>
      <c r="L31" s="22" t="n">
        <v>4427.099999999999</v>
      </c>
      <c r="M31" s="22" t="n">
        <v>0</v>
      </c>
      <c r="N31" s="22" t="n">
        <v>94.66</v>
      </c>
      <c r="O31" s="22" t="n">
        <v>88.55000000000001</v>
      </c>
      <c r="P31" s="22" t="n">
        <v>0</v>
      </c>
      <c r="Q31" s="21" t="n">
        <v>4610.31</v>
      </c>
      <c r="R31" s="20" t="n">
        <v>39</v>
      </c>
      <c r="S31" s="21" t="n">
        <v>34531.38</v>
      </c>
      <c r="T31" s="22" t="n">
        <v>42754.16</v>
      </c>
      <c r="U31" s="23" t="n">
        <v>0.084494</v>
      </c>
      <c r="V31" s="23" t="n">
        <v>0.107833</v>
      </c>
      <c r="W31" s="23" t="n">
        <v>0.807673</v>
      </c>
      <c r="X31" s="40" t="n">
        <v>2</v>
      </c>
      <c r="Y31" s="18" t="n"/>
      <c r="Z31" s="18" t="inlineStr">
        <is>
          <t>NÃO</t>
        </is>
      </c>
    </row>
    <row r="32">
      <c r="A32" s="18" t="inlineStr">
        <is>
          <t>71/ALVLT</t>
        </is>
      </c>
      <c r="B32" s="18" t="inlineStr">
        <is>
          <t>SPE RESIDENCIAL OURILANDIA LTDA</t>
        </is>
      </c>
      <c r="C32" s="18" t="inlineStr">
        <is>
          <t>37</t>
        </is>
      </c>
      <c r="D32" s="18" t="inlineStr">
        <is>
          <t>GILBERTO BUENO SOUZA</t>
        </is>
      </c>
      <c r="E32" s="25" t="inlineStr">
        <is>
          <t>QUADRA 06/LOTE 03</t>
        </is>
      </c>
      <c r="F32" s="38" t="inlineStr">
        <is>
          <t>INADIMPLENTE</t>
        </is>
      </c>
      <c r="G32" s="22" t="n">
        <v>413.05</v>
      </c>
      <c r="H32" s="20" t="n">
        <v>103</v>
      </c>
      <c r="I32" s="20" t="n">
        <v>61</v>
      </c>
      <c r="J32" s="21" t="n">
        <v>23676.18</v>
      </c>
      <c r="K32" s="41" t="n">
        <v>3</v>
      </c>
      <c r="L32" s="22" t="n">
        <v>1239.15</v>
      </c>
      <c r="M32" s="22" t="n">
        <v>492.21</v>
      </c>
      <c r="N32" s="22" t="n">
        <v>63.47</v>
      </c>
      <c r="O32" s="22" t="n">
        <v>35.2</v>
      </c>
      <c r="P32" s="22" t="n">
        <v>28.63</v>
      </c>
      <c r="Q32" s="21" t="n">
        <v>1858.66</v>
      </c>
      <c r="R32" s="20" t="n">
        <v>56</v>
      </c>
      <c r="S32" s="21" t="n">
        <v>32318.72</v>
      </c>
      <c r="T32" s="22" t="n">
        <v>57853.56</v>
      </c>
      <c r="U32" s="23" t="n">
        <v>0.409243</v>
      </c>
      <c r="V32" s="23" t="n">
        <v>0.032127</v>
      </c>
      <c r="W32" s="23" t="n">
        <v>0.55863</v>
      </c>
      <c r="X32" s="40" t="n">
        <v>10</v>
      </c>
      <c r="Y32" s="18" t="n"/>
      <c r="Z32" s="18" t="inlineStr">
        <is>
          <t>NÃO</t>
        </is>
      </c>
    </row>
    <row r="33">
      <c r="A33" s="18" t="inlineStr">
        <is>
          <t>71/ALVLT</t>
        </is>
      </c>
      <c r="B33" s="18" t="inlineStr">
        <is>
          <t>SPE RESIDENCIAL OURILANDIA LTDA</t>
        </is>
      </c>
      <c r="C33" s="18" t="inlineStr">
        <is>
          <t>103</t>
        </is>
      </c>
      <c r="D33" s="18" t="inlineStr">
        <is>
          <t>RENILTON ABRANCHES DA SILVA</t>
        </is>
      </c>
      <c r="E33" s="25" t="inlineStr">
        <is>
          <t>QUADRA 33/LOTE 10</t>
        </is>
      </c>
      <c r="F33" s="38" t="inlineStr">
        <is>
          <t>INADIMPLENTE</t>
        </is>
      </c>
      <c r="G33" s="22" t="n">
        <v>215.91</v>
      </c>
      <c r="H33" s="20" t="n">
        <v>290</v>
      </c>
      <c r="I33" s="20" t="n">
        <v>31</v>
      </c>
      <c r="J33" s="21" t="n">
        <v>6787.25</v>
      </c>
      <c r="K33" s="41" t="n">
        <v>2</v>
      </c>
      <c r="L33" s="22" t="n">
        <v>320.15</v>
      </c>
      <c r="M33" s="22" t="n">
        <v>132.48</v>
      </c>
      <c r="N33" s="22" t="n">
        <v>0</v>
      </c>
      <c r="O33" s="22" t="n">
        <v>0</v>
      </c>
      <c r="P33" s="22" t="n">
        <v>0</v>
      </c>
      <c r="Q33" s="21" t="n">
        <v>452.63</v>
      </c>
      <c r="R33" s="20" t="n">
        <v>288</v>
      </c>
      <c r="S33" s="21" t="n">
        <v>65178.72</v>
      </c>
      <c r="T33" s="22" t="n">
        <v>72418.60000000001</v>
      </c>
      <c r="U33" s="23" t="n">
        <v>0.093722</v>
      </c>
      <c r="V33" s="23" t="n">
        <v>0.00625</v>
      </c>
      <c r="W33" s="23" t="n">
        <v>0.900027</v>
      </c>
      <c r="X33" s="40" t="n">
        <v>5</v>
      </c>
      <c r="Y33" s="18" t="n"/>
      <c r="Z33" s="18" t="inlineStr">
        <is>
          <t>NÃO</t>
        </is>
      </c>
    </row>
    <row r="34">
      <c r="A34" s="18" t="inlineStr">
        <is>
          <t>71/ALVLT</t>
        </is>
      </c>
      <c r="B34" s="18" t="inlineStr">
        <is>
          <t>SPE RESIDENCIAL OURILANDIA LTDA</t>
        </is>
      </c>
      <c r="C34" s="18" t="inlineStr">
        <is>
          <t>217</t>
        </is>
      </c>
      <c r="D34" s="18" t="inlineStr">
        <is>
          <t>KAROLAINY SOUSA ALVES</t>
        </is>
      </c>
      <c r="E34" s="25" t="inlineStr">
        <is>
          <t>QUADRA 17/LOTE 12</t>
        </is>
      </c>
      <c r="F34" s="38" t="inlineStr">
        <is>
          <t>INADIMPLENTE</t>
        </is>
      </c>
      <c r="G34" s="22" t="n">
        <v>500</v>
      </c>
      <c r="H34" s="20" t="n">
        <v>48</v>
      </c>
      <c r="I34" s="20" t="n">
        <v>18</v>
      </c>
      <c r="J34" s="21" t="n">
        <v>9191.719999999999</v>
      </c>
      <c r="K34" s="41" t="n">
        <v>2</v>
      </c>
      <c r="L34" s="22" t="n">
        <v>1000</v>
      </c>
      <c r="M34" s="22" t="n">
        <v>67.81999999999999</v>
      </c>
      <c r="N34" s="22" t="n">
        <v>12.8</v>
      </c>
      <c r="O34" s="22" t="n">
        <v>21.36</v>
      </c>
      <c r="P34" s="22" t="n">
        <v>2.273736754432321e-13</v>
      </c>
      <c r="Q34" s="21" t="n">
        <v>1101.98</v>
      </c>
      <c r="R34" s="20" t="n">
        <v>28</v>
      </c>
      <c r="S34" s="21" t="n">
        <v>14949.48</v>
      </c>
      <c r="T34" s="22" t="n">
        <v>25243.18</v>
      </c>
      <c r="U34" s="23" t="n">
        <v>0.364127</v>
      </c>
      <c r="V34" s="23" t="n">
        <v>0.043655</v>
      </c>
      <c r="W34" s="23" t="n">
        <v>0.5922190000000001</v>
      </c>
      <c r="X34" s="40" t="n">
        <v>15</v>
      </c>
      <c r="Y34" s="18" t="n"/>
      <c r="Z34" s="18" t="inlineStr">
        <is>
          <t>NÃO</t>
        </is>
      </c>
    </row>
    <row r="35">
      <c r="A35" s="18" t="inlineStr">
        <is>
          <t>71/ALVLT</t>
        </is>
      </c>
      <c r="B35" s="18" t="inlineStr">
        <is>
          <t>SPE RESIDENCIAL OURILANDIA LTDA</t>
        </is>
      </c>
      <c r="C35" s="18" t="inlineStr">
        <is>
          <t>227</t>
        </is>
      </c>
      <c r="D35" s="18" t="inlineStr">
        <is>
          <t>LIVIO OLIVEIRA TRAJANO</t>
        </is>
      </c>
      <c r="E35" s="25" t="inlineStr">
        <is>
          <t>QUADRA 34/LOTE 06</t>
        </is>
      </c>
      <c r="F35" s="38" t="inlineStr">
        <is>
          <t>INADIMPLENTE</t>
        </is>
      </c>
      <c r="G35" s="22" t="n">
        <v>497.78</v>
      </c>
      <c r="H35" s="20" t="n">
        <v>72</v>
      </c>
      <c r="I35" s="20" t="n">
        <v>16</v>
      </c>
      <c r="J35" s="21" t="n">
        <v>8175.44</v>
      </c>
      <c r="K35" s="41" t="n">
        <v>2</v>
      </c>
      <c r="L35" s="22" t="n">
        <v>995.5599999999999</v>
      </c>
      <c r="M35" s="22" t="n">
        <v>111.84</v>
      </c>
      <c r="N35" s="22" t="n">
        <v>7.19</v>
      </c>
      <c r="O35" s="22" t="n">
        <v>22.14</v>
      </c>
      <c r="P35" s="22" t="n">
        <v>-1.13686837721616e-13</v>
      </c>
      <c r="Q35" s="21" t="n">
        <v>1136.73</v>
      </c>
      <c r="R35" s="20" t="n">
        <v>54</v>
      </c>
      <c r="S35" s="21" t="n">
        <v>29899.8</v>
      </c>
      <c r="T35" s="22" t="n">
        <v>39211.97</v>
      </c>
      <c r="U35" s="23" t="n">
        <v>0.208493</v>
      </c>
      <c r="V35" s="23" t="n">
        <v>0.028989</v>
      </c>
      <c r="W35" s="23" t="n">
        <v>0.762517</v>
      </c>
      <c r="X35" s="40" t="n">
        <v>2</v>
      </c>
      <c r="Y35" s="18" t="n"/>
      <c r="Z35" s="18" t="inlineStr">
        <is>
          <t>NÃO</t>
        </is>
      </c>
    </row>
    <row r="36">
      <c r="A36" s="18" t="inlineStr">
        <is>
          <t>71/ALVLT</t>
        </is>
      </c>
      <c r="B36" s="18" t="inlineStr">
        <is>
          <t>SPE RESIDENCIAL OURILANDIA LTDA</t>
        </is>
      </c>
      <c r="C36" s="18" t="inlineStr">
        <is>
          <t>235</t>
        </is>
      </c>
      <c r="D36" s="18" t="inlineStr">
        <is>
          <t>JARLISOM SILVA VIANA</t>
        </is>
      </c>
      <c r="E36" s="25" t="inlineStr">
        <is>
          <t>QUADRA 34/LOTE 35</t>
        </is>
      </c>
      <c r="F36" s="38" t="inlineStr">
        <is>
          <t>INADIMPLENTE</t>
        </is>
      </c>
      <c r="G36" s="22" t="n">
        <v>497.78</v>
      </c>
      <c r="H36" s="20" t="n">
        <v>72</v>
      </c>
      <c r="I36" s="20" t="n">
        <v>9</v>
      </c>
      <c r="J36" s="21" t="n">
        <v>4524.23</v>
      </c>
      <c r="K36" s="41" t="n">
        <v>2</v>
      </c>
      <c r="L36" s="22" t="n">
        <v>995.5599999999999</v>
      </c>
      <c r="M36" s="22" t="n">
        <v>0</v>
      </c>
      <c r="N36" s="22" t="n">
        <v>5.3</v>
      </c>
      <c r="O36" s="22" t="n">
        <v>9.960000000000001</v>
      </c>
      <c r="P36" s="22" t="n">
        <v>0</v>
      </c>
      <c r="Q36" s="21" t="n">
        <v>1010.82</v>
      </c>
      <c r="R36" s="20" t="n">
        <v>61</v>
      </c>
      <c r="S36" s="21" t="n">
        <v>30364.58</v>
      </c>
      <c r="T36" s="22" t="n">
        <v>35899.63</v>
      </c>
      <c r="U36" s="23" t="n">
        <v>0.126024</v>
      </c>
      <c r="V36" s="23" t="n">
        <v>0.028157</v>
      </c>
      <c r="W36" s="23" t="n">
        <v>0.845819</v>
      </c>
      <c r="X36" s="40" t="n">
        <v>5</v>
      </c>
      <c r="Y36" s="18" t="n"/>
      <c r="Z36" s="18" t="inlineStr">
        <is>
          <t>NÃO</t>
        </is>
      </c>
    </row>
    <row r="37">
      <c r="A37" s="18" t="inlineStr">
        <is>
          <t>71/ALVLT</t>
        </is>
      </c>
      <c r="B37" s="18" t="inlineStr">
        <is>
          <t>SPE RESIDENCIAL OURILANDIA LTDA</t>
        </is>
      </c>
      <c r="C37" s="18" t="inlineStr">
        <is>
          <t>29</t>
        </is>
      </c>
      <c r="D37" s="18" t="inlineStr">
        <is>
          <t>IGREJA EVANGELICA ASSEMBLEIA DE DEUS</t>
        </is>
      </c>
      <c r="E37" s="25" t="inlineStr">
        <is>
          <t>QUADRA 28/LOTE 02</t>
        </is>
      </c>
      <c r="F37" s="38" t="inlineStr">
        <is>
          <t>INADIMPLENTE</t>
        </is>
      </c>
      <c r="G37" s="22" t="n">
        <v>166.66</v>
      </c>
      <c r="H37" s="20" t="n">
        <v>120</v>
      </c>
      <c r="I37" s="20" t="n">
        <v>103</v>
      </c>
      <c r="J37" s="21" t="n">
        <v>41714.85</v>
      </c>
      <c r="K37" s="41" t="n">
        <v>2</v>
      </c>
      <c r="L37" s="22" t="n">
        <v>333.32</v>
      </c>
      <c r="M37" s="22" t="n">
        <v>586.38</v>
      </c>
      <c r="N37" s="22" t="n">
        <v>9.51</v>
      </c>
      <c r="O37" s="22" t="n">
        <v>18.4</v>
      </c>
      <c r="P37" s="22" t="n">
        <v>5.684341886080801e-14</v>
      </c>
      <c r="Q37" s="21" t="n">
        <v>947.61</v>
      </c>
      <c r="R37" s="20" t="n">
        <v>15</v>
      </c>
      <c r="S37" s="21" t="n">
        <v>6899.96</v>
      </c>
      <c r="T37" s="22" t="n">
        <v>49562.42</v>
      </c>
      <c r="U37" s="23" t="n">
        <v>0.841663</v>
      </c>
      <c r="V37" s="23" t="n">
        <v>0.01912</v>
      </c>
      <c r="W37" s="23" t="n">
        <v>0.139218</v>
      </c>
      <c r="X37" s="40" t="n">
        <v>20</v>
      </c>
      <c r="Y37" s="18" t="n"/>
      <c r="Z37" s="18" t="inlineStr">
        <is>
          <t>NÃO</t>
        </is>
      </c>
    </row>
    <row r="38">
      <c r="A38" s="18" t="inlineStr">
        <is>
          <t>71/ALVLT</t>
        </is>
      </c>
      <c r="B38" s="18" t="inlineStr">
        <is>
          <t>SPE RESIDENCIAL OURILANDIA LTDA</t>
        </is>
      </c>
      <c r="C38" s="18" t="inlineStr">
        <is>
          <t>84</t>
        </is>
      </c>
      <c r="D38" s="18" t="inlineStr">
        <is>
          <t>MARLON SOUTO OLIVEIRA</t>
        </is>
      </c>
      <c r="E38" s="25" t="inlineStr">
        <is>
          <t>QUADRA 22/LOTE 25</t>
        </is>
      </c>
      <c r="F38" s="38" t="inlineStr">
        <is>
          <t>INADIMPLENTE</t>
        </is>
      </c>
      <c r="G38" s="22" t="n">
        <v>122.54</v>
      </c>
      <c r="H38" s="20" t="n">
        <v>204</v>
      </c>
      <c r="I38" s="20" t="n">
        <v>99</v>
      </c>
      <c r="J38" s="21" t="n">
        <v>20937.45</v>
      </c>
      <c r="K38" s="41" t="n">
        <v>2</v>
      </c>
      <c r="L38" s="22" t="n">
        <v>245.08</v>
      </c>
      <c r="M38" s="22" t="n">
        <v>456.94</v>
      </c>
      <c r="N38" s="22" t="n">
        <v>8.43</v>
      </c>
      <c r="O38" s="22" t="n">
        <v>14.06</v>
      </c>
      <c r="P38" s="22" t="n">
        <v>0.8100000000000307</v>
      </c>
      <c r="Q38" s="21" t="n">
        <v>725.3200000000001</v>
      </c>
      <c r="R38" s="20" t="n">
        <v>103</v>
      </c>
      <c r="S38" s="21" t="n">
        <v>36159.3</v>
      </c>
      <c r="T38" s="22" t="n">
        <v>57822.07</v>
      </c>
      <c r="U38" s="23" t="n">
        <v>0.362101</v>
      </c>
      <c r="V38" s="23" t="n">
        <v>0.012544</v>
      </c>
      <c r="W38" s="23" t="n">
        <v>0.625355</v>
      </c>
      <c r="X38" s="40" t="n">
        <v>15</v>
      </c>
      <c r="Y38" s="18" t="n"/>
      <c r="Z38" s="18" t="inlineStr">
        <is>
          <t>NÃO</t>
        </is>
      </c>
    </row>
    <row r="39">
      <c r="A39" s="18" t="inlineStr">
        <is>
          <t>71/ALVLT</t>
        </is>
      </c>
      <c r="B39" s="18" t="inlineStr">
        <is>
          <t>SPE RESIDENCIAL OURILANDIA LTDA</t>
        </is>
      </c>
      <c r="C39" s="18" t="inlineStr">
        <is>
          <t>104</t>
        </is>
      </c>
      <c r="D39" s="18" t="inlineStr">
        <is>
          <t>RAIMUNDO CARLOS FERNANDES DE SOUZA</t>
        </is>
      </c>
      <c r="E39" s="25" t="inlineStr">
        <is>
          <t>QUADRA 26/LOTE 03</t>
        </is>
      </c>
      <c r="F39" s="38" t="inlineStr">
        <is>
          <t>INADIMPLENTE</t>
        </is>
      </c>
      <c r="G39" s="22" t="n">
        <v>250</v>
      </c>
      <c r="H39" s="20" t="n">
        <v>120</v>
      </c>
      <c r="I39" s="20" t="n">
        <v>70</v>
      </c>
      <c r="J39" s="21" t="n">
        <v>40499.71</v>
      </c>
      <c r="K39" s="42" t="n">
        <v>1</v>
      </c>
      <c r="L39" s="22" t="n">
        <v>250</v>
      </c>
      <c r="M39" s="22" t="n">
        <v>466.05</v>
      </c>
      <c r="N39" s="22" t="n">
        <v>5.25</v>
      </c>
      <c r="O39" s="22" t="n">
        <v>14.32</v>
      </c>
      <c r="P39" s="22" t="n">
        <v>-5.684341886080801e-14</v>
      </c>
      <c r="Q39" s="21" t="n">
        <v>735.62</v>
      </c>
      <c r="R39" s="20" t="n">
        <v>45</v>
      </c>
      <c r="S39" s="21" t="n">
        <v>32222.25</v>
      </c>
      <c r="T39" s="22" t="n">
        <v>73457.58</v>
      </c>
      <c r="U39" s="23" t="n">
        <v>0.551335</v>
      </c>
      <c r="V39" s="23" t="n">
        <v>0.010014</v>
      </c>
      <c r="W39" s="23" t="n">
        <v>0.438651</v>
      </c>
      <c r="X39" s="40" t="n">
        <v>15</v>
      </c>
      <c r="Y39" s="18" t="n"/>
      <c r="Z39" s="18" t="inlineStr">
        <is>
          <t>NÃO</t>
        </is>
      </c>
    </row>
    <row r="40">
      <c r="A40" s="18" t="inlineStr">
        <is>
          <t>71/ALVLT</t>
        </is>
      </c>
      <c r="B40" s="18" t="inlineStr">
        <is>
          <t>SPE RESIDENCIAL OURILANDIA LTDA</t>
        </is>
      </c>
      <c r="C40" s="18" t="inlineStr">
        <is>
          <t>122</t>
        </is>
      </c>
      <c r="D40" s="18" t="inlineStr">
        <is>
          <t>JOAQUIM LEAL RODRIGUES FILHO</t>
        </is>
      </c>
      <c r="E40" s="25" t="inlineStr">
        <is>
          <t>QUADRA 21/LOTE 08</t>
        </is>
      </c>
      <c r="F40" s="38" t="inlineStr">
        <is>
          <t>INADIMPLENTE</t>
        </is>
      </c>
      <c r="G40" s="22" t="n">
        <v>145.83</v>
      </c>
      <c r="H40" s="20" t="n">
        <v>192</v>
      </c>
      <c r="I40" s="20" t="n">
        <v>90</v>
      </c>
      <c r="J40" s="21" t="n">
        <v>20391.82</v>
      </c>
      <c r="K40" s="42" t="n">
        <v>1</v>
      </c>
      <c r="L40" s="22" t="n">
        <v>145.83</v>
      </c>
      <c r="M40" s="22" t="n">
        <v>188.57</v>
      </c>
      <c r="N40" s="22" t="n">
        <v>3.01</v>
      </c>
      <c r="O40" s="22" t="n">
        <v>6.69</v>
      </c>
      <c r="P40" s="22" t="n">
        <v>2.842170943040401e-14</v>
      </c>
      <c r="Q40" s="21" t="n">
        <v>344.1</v>
      </c>
      <c r="R40" s="20" t="n">
        <v>101</v>
      </c>
      <c r="S40" s="21" t="n">
        <v>33775.87</v>
      </c>
      <c r="T40" s="22" t="n">
        <v>54511.79</v>
      </c>
      <c r="U40" s="23" t="n">
        <v>0.374081</v>
      </c>
      <c r="V40" s="23" t="n">
        <v>0.006312</v>
      </c>
      <c r="W40" s="23" t="n">
        <v>0.619607</v>
      </c>
      <c r="X40" s="40" t="n">
        <v>10</v>
      </c>
      <c r="Y40" s="18" t="n"/>
      <c r="Z40" s="18" t="inlineStr">
        <is>
          <t>NÃO</t>
        </is>
      </c>
    </row>
    <row r="41">
      <c r="A41" s="18" t="inlineStr">
        <is>
          <t>71/ALVLT</t>
        </is>
      </c>
      <c r="B41" s="18" t="inlineStr">
        <is>
          <t>SPE RESIDENCIAL OURILANDIA LTDA</t>
        </is>
      </c>
      <c r="C41" s="18" t="inlineStr">
        <is>
          <t>222</t>
        </is>
      </c>
      <c r="D41" s="18" t="inlineStr">
        <is>
          <t>TAYS CALVARIO DA SILVA</t>
        </is>
      </c>
      <c r="E41" s="25" t="inlineStr">
        <is>
          <t>QUADRA 34/LOTE 26</t>
        </is>
      </c>
      <c r="F41" s="38" t="inlineStr">
        <is>
          <t>INADIMPLENTE</t>
        </is>
      </c>
      <c r="G41" s="22" t="n">
        <v>500</v>
      </c>
      <c r="H41" s="20" t="n">
        <v>48</v>
      </c>
      <c r="I41" s="20" t="n">
        <v>21</v>
      </c>
      <c r="J41" s="21" t="n">
        <v>10094.65</v>
      </c>
      <c r="K41" s="42" t="n">
        <v>1</v>
      </c>
      <c r="L41" s="22" t="n">
        <v>500</v>
      </c>
      <c r="M41" s="22" t="n">
        <v>91.22</v>
      </c>
      <c r="N41" s="22" t="n">
        <v>2.56</v>
      </c>
      <c r="O41" s="22" t="n">
        <v>11.82</v>
      </c>
      <c r="P41" s="22" t="n">
        <v>0</v>
      </c>
      <c r="Q41" s="21" t="n">
        <v>605.6</v>
      </c>
      <c r="R41" s="20" t="n">
        <v>28</v>
      </c>
      <c r="S41" s="21" t="n">
        <v>16554.16</v>
      </c>
      <c r="T41" s="22" t="n">
        <v>27254.41</v>
      </c>
      <c r="U41" s="23" t="n">
        <v>0.370386</v>
      </c>
      <c r="V41" s="23" t="n">
        <v>0.02222</v>
      </c>
      <c r="W41" s="23" t="n">
        <v>0.607394</v>
      </c>
      <c r="X41" s="40" t="n">
        <v>24</v>
      </c>
      <c r="Y41" s="18" t="n"/>
      <c r="Z41" s="18" t="inlineStr">
        <is>
          <t>NÃO</t>
        </is>
      </c>
    </row>
    <row r="42">
      <c r="A42" s="18" t="inlineStr">
        <is>
          <t>71/ALVLT</t>
        </is>
      </c>
      <c r="B42" s="18" t="inlineStr">
        <is>
          <t>SPE RESIDENCIAL OURILANDIA LTDA</t>
        </is>
      </c>
      <c r="C42" s="18" t="inlineStr">
        <is>
          <t>223</t>
        </is>
      </c>
      <c r="D42" s="18" t="inlineStr">
        <is>
          <t>WELISON DOS SANTOS PEREIRA</t>
        </is>
      </c>
      <c r="E42" s="25" t="inlineStr">
        <is>
          <t>QUADRA 34/LOTE 11</t>
        </is>
      </c>
      <c r="F42" s="38" t="inlineStr">
        <is>
          <t>INADIMPLENTE</t>
        </is>
      </c>
      <c r="G42" s="22" t="n">
        <v>500</v>
      </c>
      <c r="H42" s="20" t="n">
        <v>48</v>
      </c>
      <c r="I42" s="20" t="n">
        <v>19</v>
      </c>
      <c r="J42" s="21" t="n">
        <v>9761.84</v>
      </c>
      <c r="K42" s="42" t="n">
        <v>1</v>
      </c>
      <c r="L42" s="22" t="n">
        <v>500</v>
      </c>
      <c r="M42" s="22" t="n">
        <v>91.22</v>
      </c>
      <c r="N42" s="22" t="n">
        <v>1.38</v>
      </c>
      <c r="O42" s="22" t="n">
        <v>11.82</v>
      </c>
      <c r="P42" s="22" t="n">
        <v>-1.13686837721616e-13</v>
      </c>
      <c r="Q42" s="21" t="n">
        <v>604.42</v>
      </c>
      <c r="R42" s="20" t="n">
        <v>28</v>
      </c>
      <c r="S42" s="21" t="n">
        <v>16554.16</v>
      </c>
      <c r="T42" s="22" t="n">
        <v>26920.42</v>
      </c>
      <c r="U42" s="23" t="n">
        <v>0.362618</v>
      </c>
      <c r="V42" s="23" t="n">
        <v>0.022452</v>
      </c>
      <c r="W42" s="23" t="n">
        <v>0.6149289999999999</v>
      </c>
      <c r="X42" s="40" t="n">
        <v>30</v>
      </c>
      <c r="Y42" s="18" t="n"/>
      <c r="Z42" s="18" t="inlineStr">
        <is>
          <t>NÃO</t>
        </is>
      </c>
    </row>
    <row r="43">
      <c r="A43" s="18" t="inlineStr">
        <is>
          <t>71/ALVLT</t>
        </is>
      </c>
      <c r="B43" s="18" t="inlineStr">
        <is>
          <t>SPE RESIDENCIAL OURILANDIA LTDA</t>
        </is>
      </c>
      <c r="C43" s="18" t="inlineStr">
        <is>
          <t>225</t>
        </is>
      </c>
      <c r="D43" s="18" t="inlineStr">
        <is>
          <t>SUZANE VIRGINHA DE SOUSA</t>
        </is>
      </c>
      <c r="E43" s="25" t="inlineStr">
        <is>
          <t>QUADRA 21/LOTE 28</t>
        </is>
      </c>
      <c r="F43" s="38" t="inlineStr">
        <is>
          <t>INADIMPLENTE</t>
        </is>
      </c>
      <c r="G43" s="22" t="n">
        <v>497.78</v>
      </c>
      <c r="H43" s="20" t="n">
        <v>72</v>
      </c>
      <c r="I43" s="20" t="n">
        <v>18</v>
      </c>
      <c r="J43" s="21" t="n">
        <v>9425.540000000001</v>
      </c>
      <c r="K43" s="42" t="n">
        <v>1</v>
      </c>
      <c r="L43" s="22" t="n">
        <v>497.78</v>
      </c>
      <c r="M43" s="22" t="n">
        <v>82.43000000000001</v>
      </c>
      <c r="N43" s="22" t="n">
        <v>1.35</v>
      </c>
      <c r="O43" s="22" t="n">
        <v>11.6</v>
      </c>
      <c r="P43" s="22" t="n">
        <v>-5.684341886080801e-14</v>
      </c>
      <c r="Q43" s="21" t="n">
        <v>593.16</v>
      </c>
      <c r="R43" s="20" t="n">
        <v>53</v>
      </c>
      <c r="S43" s="21" t="n">
        <v>30751.13</v>
      </c>
      <c r="T43" s="22" t="n">
        <v>40769.83</v>
      </c>
      <c r="U43" s="23" t="n">
        <v>0.231189</v>
      </c>
      <c r="V43" s="23" t="n">
        <v>0.014549</v>
      </c>
      <c r="W43" s="23" t="n">
        <v>0.754262</v>
      </c>
      <c r="X43" s="40" t="n">
        <v>30</v>
      </c>
      <c r="Y43" s="18" t="n"/>
      <c r="Z43" s="18" t="inlineStr">
        <is>
          <t>NÃO</t>
        </is>
      </c>
    </row>
    <row r="44">
      <c r="A44" s="18" t="inlineStr">
        <is>
          <t>71/ALVLT</t>
        </is>
      </c>
      <c r="B44" s="18" t="inlineStr">
        <is>
          <t>SPE RESIDENCIAL OURILANDIA LTDA</t>
        </is>
      </c>
      <c r="C44" s="18" t="inlineStr">
        <is>
          <t>229</t>
        </is>
      </c>
      <c r="D44" s="18" t="inlineStr">
        <is>
          <t>RYAN VICTOR NASCIMENTO DE SOUSA</t>
        </is>
      </c>
      <c r="E44" s="25" t="inlineStr">
        <is>
          <t>QUADRA 33/LOTE 14</t>
        </is>
      </c>
      <c r="F44" s="38" t="inlineStr">
        <is>
          <t>INADIMPLENTE</t>
        </is>
      </c>
      <c r="G44" s="22" t="n">
        <v>497.78</v>
      </c>
      <c r="H44" s="20" t="n">
        <v>72</v>
      </c>
      <c r="I44" s="20" t="n">
        <v>13</v>
      </c>
      <c r="J44" s="21" t="n">
        <v>6590.62</v>
      </c>
      <c r="K44" s="42" t="n">
        <v>1</v>
      </c>
      <c r="L44" s="22" t="n">
        <v>497.78</v>
      </c>
      <c r="M44" s="22" t="n">
        <v>55.21</v>
      </c>
      <c r="N44" s="22" t="n">
        <v>1.84</v>
      </c>
      <c r="O44" s="22" t="n">
        <v>11.06</v>
      </c>
      <c r="P44" s="22" t="n">
        <v>5.684341886080801e-14</v>
      </c>
      <c r="Q44" s="21" t="n">
        <v>565.89</v>
      </c>
      <c r="R44" s="20" t="n">
        <v>58</v>
      </c>
      <c r="S44" s="21" t="n">
        <v>32073.42</v>
      </c>
      <c r="T44" s="22" t="n">
        <v>39229.93</v>
      </c>
      <c r="U44" s="23" t="n">
        <v>0.168</v>
      </c>
      <c r="V44" s="23" t="n">
        <v>0.014425</v>
      </c>
      <c r="W44" s="23" t="n">
        <v>0.8175750000000001</v>
      </c>
      <c r="X44" s="40" t="n">
        <v>27</v>
      </c>
      <c r="Y44" s="18" t="n"/>
      <c r="Z44" s="18" t="inlineStr">
        <is>
          <t>NÃO</t>
        </is>
      </c>
    </row>
    <row r="45">
      <c r="A45" s="18" t="inlineStr">
        <is>
          <t>71/ALVLT</t>
        </is>
      </c>
      <c r="B45" s="18" t="inlineStr">
        <is>
          <t>SPE RESIDENCIAL OURILANDIA LTDA</t>
        </is>
      </c>
      <c r="C45" s="18" t="inlineStr">
        <is>
          <t>242</t>
        </is>
      </c>
      <c r="D45" s="18" t="inlineStr">
        <is>
          <t>KEILA BEZERRA DA SILVA</t>
        </is>
      </c>
      <c r="E45" s="25" t="inlineStr">
        <is>
          <t>QUADRA 34/LOTE 29</t>
        </is>
      </c>
      <c r="F45" s="38" t="inlineStr">
        <is>
          <t>INADIMPLENTE</t>
        </is>
      </c>
      <c r="G45" s="22" t="n">
        <v>625</v>
      </c>
      <c r="H45" s="20" t="n">
        <v>72</v>
      </c>
      <c r="I45" s="20" t="n">
        <v>5</v>
      </c>
      <c r="J45" s="21" t="n">
        <v>3125</v>
      </c>
      <c r="K45" s="42" t="n">
        <v>1</v>
      </c>
      <c r="L45" s="22" t="n">
        <v>625</v>
      </c>
      <c r="M45" s="22" t="n">
        <v>0</v>
      </c>
      <c r="N45" s="22" t="n">
        <v>21.23</v>
      </c>
      <c r="O45" s="22" t="n">
        <v>12.5</v>
      </c>
      <c r="P45" s="22" t="n">
        <v>0</v>
      </c>
      <c r="Q45" s="21" t="n">
        <v>658.73</v>
      </c>
      <c r="R45" s="20" t="n">
        <v>66</v>
      </c>
      <c r="S45" s="21" t="n">
        <v>41250</v>
      </c>
      <c r="T45" s="22" t="n">
        <v>45033.73</v>
      </c>
      <c r="U45" s="23" t="n">
        <v>0.069392</v>
      </c>
      <c r="V45" s="23" t="n">
        <v>0.014627</v>
      </c>
      <c r="W45" s="23" t="n">
        <v>0.91598</v>
      </c>
      <c r="X45" s="40" t="n">
        <v>25</v>
      </c>
      <c r="Y45" s="18" t="n"/>
      <c r="Z45" s="18" t="inlineStr">
        <is>
          <t>NÃO</t>
        </is>
      </c>
    </row>
    <row r="46">
      <c r="A46" s="18" t="inlineStr">
        <is>
          <t>71/ALVLT</t>
        </is>
      </c>
      <c r="B46" s="18" t="inlineStr">
        <is>
          <t>SPE RESIDENCIAL OURILANDIA LTDA</t>
        </is>
      </c>
      <c r="C46" s="18" t="inlineStr">
        <is>
          <t>48</t>
        </is>
      </c>
      <c r="D46" s="18" t="inlineStr">
        <is>
          <t>MARIA DAJUDA GON ALVES COSTA</t>
        </is>
      </c>
      <c r="E46" s="25" t="inlineStr">
        <is>
          <t>QUADRA 20/LOTE 03</t>
        </is>
      </c>
      <c r="F46" s="38" t="inlineStr">
        <is>
          <t>INADIMPLENTE</t>
        </is>
      </c>
      <c r="G46" s="22" t="n">
        <v>250</v>
      </c>
      <c r="H46" s="20" t="n">
        <v>120</v>
      </c>
      <c r="I46" s="20" t="n">
        <v>102</v>
      </c>
      <c r="J46" s="21" t="n">
        <v>39859.8</v>
      </c>
      <c r="K46" s="42" t="n">
        <v>1</v>
      </c>
      <c r="L46" s="22" t="n">
        <v>250</v>
      </c>
      <c r="M46" s="22" t="n">
        <v>329.68</v>
      </c>
      <c r="N46" s="22" t="n">
        <v>3.09</v>
      </c>
      <c r="O46" s="22" t="n">
        <v>11.59</v>
      </c>
      <c r="P46" s="22" t="n">
        <v>-5.684341886080801e-14</v>
      </c>
      <c r="Q46" s="21" t="n">
        <v>594.36</v>
      </c>
      <c r="R46" s="20" t="n">
        <v>17</v>
      </c>
      <c r="S46" s="21" t="n">
        <v>9854.559999999999</v>
      </c>
      <c r="T46" s="22" t="n">
        <v>50308.72</v>
      </c>
      <c r="U46" s="23" t="n">
        <v>0.792304</v>
      </c>
      <c r="V46" s="23" t="n">
        <v>0.011814</v>
      </c>
      <c r="W46" s="23" t="n">
        <v>0.195882</v>
      </c>
      <c r="X46" s="40" t="n">
        <v>21</v>
      </c>
      <c r="Y46" s="18" t="n"/>
      <c r="Z46" s="18" t="inlineStr">
        <is>
          <t>NÃO</t>
        </is>
      </c>
    </row>
    <row r="47">
      <c r="A47" s="18" t="inlineStr">
        <is>
          <t>71/ALVLT</t>
        </is>
      </c>
      <c r="B47" s="18" t="inlineStr">
        <is>
          <t>SPE RESIDENCIAL OURILANDIA LTDA</t>
        </is>
      </c>
      <c r="C47" s="18" t="inlineStr">
        <is>
          <t>71</t>
        </is>
      </c>
      <c r="D47" s="18" t="inlineStr">
        <is>
          <t>EVARISTO FERREIRA DO NASCIMENTO JUNIOR</t>
        </is>
      </c>
      <c r="E47" s="25" t="inlineStr">
        <is>
          <t>QUADRA 06/LOTE 02</t>
        </is>
      </c>
      <c r="F47" s="38" t="inlineStr">
        <is>
          <t>INADIMPLENTE</t>
        </is>
      </c>
      <c r="G47" s="22" t="n">
        <v>208.33</v>
      </c>
      <c r="H47" s="20" t="n">
        <v>120</v>
      </c>
      <c r="I47" s="20" t="n">
        <v>66</v>
      </c>
      <c r="J47" s="21" t="n">
        <v>25520.66</v>
      </c>
      <c r="K47" s="42" t="n">
        <v>1</v>
      </c>
      <c r="L47" s="22" t="n">
        <v>208.33</v>
      </c>
      <c r="M47" s="22" t="n">
        <v>333.54</v>
      </c>
      <c r="N47" s="22" t="n">
        <v>9.050000000000001</v>
      </c>
      <c r="O47" s="22" t="n">
        <v>10.86</v>
      </c>
      <c r="P47" s="22" t="n">
        <v>1.259999999999962</v>
      </c>
      <c r="Q47" s="21" t="n">
        <v>563.04</v>
      </c>
      <c r="R47" s="20" t="n">
        <v>34</v>
      </c>
      <c r="S47" s="21" t="n">
        <v>29884.46</v>
      </c>
      <c r="T47" s="22" t="n">
        <v>55968.16</v>
      </c>
      <c r="U47" s="23" t="n">
        <v>0.455985</v>
      </c>
      <c r="V47" s="23" t="n">
        <v>0.01006</v>
      </c>
      <c r="W47" s="23" t="n">
        <v>0.533955</v>
      </c>
      <c r="X47" s="40" t="n">
        <v>15</v>
      </c>
      <c r="Y47" s="18" t="n"/>
      <c r="Z47" s="18" t="inlineStr">
        <is>
          <t>NÃO</t>
        </is>
      </c>
    </row>
    <row r="48">
      <c r="A48" s="18" t="inlineStr">
        <is>
          <t>71/ALVLT</t>
        </is>
      </c>
      <c r="B48" s="18" t="inlineStr">
        <is>
          <t>SPE RESIDENCIAL OURILANDIA LTDA</t>
        </is>
      </c>
      <c r="C48" s="18" t="inlineStr">
        <is>
          <t>74</t>
        </is>
      </c>
      <c r="D48" s="18" t="inlineStr">
        <is>
          <t>RAIMUNDA FERREIRA DA SILVA</t>
        </is>
      </c>
      <c r="E48" s="25" t="inlineStr">
        <is>
          <t>QUADRA 22/LOTE 07</t>
        </is>
      </c>
      <c r="F48" s="38" t="inlineStr">
        <is>
          <t>INADIMPLENTE</t>
        </is>
      </c>
      <c r="G48" s="22" t="n">
        <v>122.54</v>
      </c>
      <c r="H48" s="20" t="n">
        <v>204</v>
      </c>
      <c r="I48" s="20" t="n">
        <v>100</v>
      </c>
      <c r="J48" s="21" t="n">
        <v>20352.16</v>
      </c>
      <c r="K48" s="42" t="n">
        <v>1</v>
      </c>
      <c r="L48" s="22" t="n">
        <v>122.54</v>
      </c>
      <c r="M48" s="22" t="n">
        <v>228.07</v>
      </c>
      <c r="N48" s="22" t="n">
        <v>1.05</v>
      </c>
      <c r="O48" s="22" t="n">
        <v>7.01</v>
      </c>
      <c r="P48" s="22" t="n">
        <v>1.4210854715202e-14</v>
      </c>
      <c r="Q48" s="21" t="n">
        <v>358.67</v>
      </c>
      <c r="R48" s="20" t="n">
        <v>103</v>
      </c>
      <c r="S48" s="21" t="n">
        <v>36118.16</v>
      </c>
      <c r="T48" s="22" t="n">
        <v>56828.99</v>
      </c>
      <c r="U48" s="23" t="n">
        <v>0.35813</v>
      </c>
      <c r="V48" s="23" t="n">
        <v>0.006311</v>
      </c>
      <c r="W48" s="23" t="n">
        <v>0.635559</v>
      </c>
      <c r="X48" s="40" t="n">
        <v>28</v>
      </c>
      <c r="Y48" s="18" t="n"/>
      <c r="Z48" s="18" t="inlineStr">
        <is>
          <t>NÃO</t>
        </is>
      </c>
    </row>
    <row r="49">
      <c r="A49" s="18" t="inlineStr">
        <is>
          <t>71/ALVLT</t>
        </is>
      </c>
      <c r="B49" s="18" t="inlineStr">
        <is>
          <t>SPE RESIDENCIAL OURILANDIA LTDA</t>
        </is>
      </c>
      <c r="C49" s="18" t="inlineStr">
        <is>
          <t>10</t>
        </is>
      </c>
      <c r="D49" s="18" t="inlineStr">
        <is>
          <t>ROBERO DA CONCEI O SILVA</t>
        </is>
      </c>
      <c r="E49" s="25" t="inlineStr">
        <is>
          <t>QUADRA 17/LOTE 12</t>
        </is>
      </c>
      <c r="F49" s="43" t="inlineStr">
        <is>
          <t>QUITADO</t>
        </is>
      </c>
      <c r="G49" s="22" t="n">
        <v>0</v>
      </c>
      <c r="H49" s="20" t="n">
        <v>120</v>
      </c>
      <c r="I49" s="20" t="n">
        <v>72</v>
      </c>
      <c r="J49" s="21" t="n">
        <v>20135.23</v>
      </c>
      <c r="K49" s="44" t="n">
        <v>0</v>
      </c>
      <c r="L49" s="22" t="n">
        <v>0</v>
      </c>
      <c r="M49" s="22" t="n">
        <v>0</v>
      </c>
      <c r="N49" s="22" t="n">
        <v>0</v>
      </c>
      <c r="O49" s="22" t="n">
        <v>0</v>
      </c>
      <c r="P49" s="22" t="n">
        <v>0</v>
      </c>
      <c r="Q49" s="21" t="n">
        <v>0</v>
      </c>
      <c r="R49" s="20" t="n">
        <v>0</v>
      </c>
      <c r="S49" s="21" t="n">
        <v>0</v>
      </c>
      <c r="T49" s="22" t="n">
        <v>20135.23</v>
      </c>
      <c r="U49" s="23" t="n">
        <v>1</v>
      </c>
      <c r="V49" s="23" t="n">
        <v>0</v>
      </c>
      <c r="W49" s="23" t="n">
        <v>0</v>
      </c>
      <c r="X49" s="40" t="n"/>
      <c r="Y49" s="18" t="n"/>
      <c r="Z49" s="18" t="inlineStr">
        <is>
          <t>NÃO</t>
        </is>
      </c>
    </row>
    <row r="50">
      <c r="A50" s="18" t="inlineStr">
        <is>
          <t>71/ALVLT</t>
        </is>
      </c>
      <c r="B50" s="18" t="inlineStr">
        <is>
          <t>SPE RESIDENCIAL OURILANDIA LTDA</t>
        </is>
      </c>
      <c r="C50" s="18" t="inlineStr">
        <is>
          <t>100</t>
        </is>
      </c>
      <c r="D50" s="18" t="inlineStr">
        <is>
          <t>ANTONIO JOS DE LIMA</t>
        </is>
      </c>
      <c r="E50" s="25" t="inlineStr">
        <is>
          <t>QUADRA 34/LOTE 24</t>
        </is>
      </c>
      <c r="F50" s="43" t="inlineStr">
        <is>
          <t>QUITADO</t>
        </is>
      </c>
      <c r="G50" s="22" t="n">
        <v>0</v>
      </c>
      <c r="H50" s="20" t="n">
        <v>204</v>
      </c>
      <c r="I50" s="20" t="n">
        <v>16</v>
      </c>
      <c r="J50" s="21" t="n">
        <v>2461.08</v>
      </c>
      <c r="K50" s="44" t="n">
        <v>0</v>
      </c>
      <c r="L50" s="22" t="n">
        <v>0</v>
      </c>
      <c r="M50" s="22" t="n">
        <v>0</v>
      </c>
      <c r="N50" s="22" t="n">
        <v>0</v>
      </c>
      <c r="O50" s="22" t="n">
        <v>0</v>
      </c>
      <c r="P50" s="22" t="n">
        <v>0</v>
      </c>
      <c r="Q50" s="21" t="n">
        <v>0</v>
      </c>
      <c r="R50" s="20" t="n">
        <v>0</v>
      </c>
      <c r="S50" s="21" t="n">
        <v>0</v>
      </c>
      <c r="T50" s="22" t="n">
        <v>2461.08</v>
      </c>
      <c r="U50" s="23" t="n">
        <v>1</v>
      </c>
      <c r="V50" s="23" t="n">
        <v>0</v>
      </c>
      <c r="W50" s="23" t="n">
        <v>0</v>
      </c>
      <c r="X50" s="40" t="n"/>
      <c r="Y50" s="18" t="n"/>
      <c r="Z50" s="18" t="inlineStr">
        <is>
          <t>NÃO</t>
        </is>
      </c>
    </row>
    <row r="51">
      <c r="A51" s="18" t="inlineStr">
        <is>
          <t>71/ALVLT</t>
        </is>
      </c>
      <c r="B51" s="18" t="inlineStr">
        <is>
          <t>SPE RESIDENCIAL OURILANDIA LTDA</t>
        </is>
      </c>
      <c r="C51" s="18" t="inlineStr">
        <is>
          <t>101</t>
        </is>
      </c>
      <c r="D51" s="18" t="inlineStr">
        <is>
          <t>ANTONIO JOS DE LIMA</t>
        </is>
      </c>
      <c r="E51" s="25" t="inlineStr">
        <is>
          <t>QUADRA 34/LOTE 25</t>
        </is>
      </c>
      <c r="F51" s="43" t="inlineStr">
        <is>
          <t>QUITADO</t>
        </is>
      </c>
      <c r="G51" s="22" t="n">
        <v>0</v>
      </c>
      <c r="H51" s="20" t="n">
        <v>204</v>
      </c>
      <c r="I51" s="20" t="n">
        <v>16</v>
      </c>
      <c r="J51" s="21" t="n">
        <v>2461.59</v>
      </c>
      <c r="K51" s="44" t="n">
        <v>0</v>
      </c>
      <c r="L51" s="22" t="n">
        <v>0</v>
      </c>
      <c r="M51" s="22" t="n">
        <v>0</v>
      </c>
      <c r="N51" s="22" t="n">
        <v>0</v>
      </c>
      <c r="O51" s="22" t="n">
        <v>0</v>
      </c>
      <c r="P51" s="22" t="n">
        <v>0</v>
      </c>
      <c r="Q51" s="21" t="n">
        <v>0</v>
      </c>
      <c r="R51" s="20" t="n">
        <v>0</v>
      </c>
      <c r="S51" s="21" t="n">
        <v>0</v>
      </c>
      <c r="T51" s="22" t="n">
        <v>2461.59</v>
      </c>
      <c r="U51" s="23" t="n">
        <v>1</v>
      </c>
      <c r="V51" s="23" t="n">
        <v>0</v>
      </c>
      <c r="W51" s="23" t="n">
        <v>0</v>
      </c>
      <c r="X51" s="40" t="n"/>
      <c r="Y51" s="18" t="n"/>
      <c r="Z51" s="18" t="inlineStr">
        <is>
          <t>NÃO</t>
        </is>
      </c>
    </row>
    <row r="52">
      <c r="A52" s="18" t="inlineStr">
        <is>
          <t>71/ALVLT</t>
        </is>
      </c>
      <c r="B52" s="18" t="inlineStr">
        <is>
          <t>SPE RESIDENCIAL OURILANDIA LTDA</t>
        </is>
      </c>
      <c r="C52" s="18" t="inlineStr">
        <is>
          <t>102</t>
        </is>
      </c>
      <c r="D52" s="18" t="inlineStr">
        <is>
          <t>SAMUEL ALVES DE LIMA</t>
        </is>
      </c>
      <c r="E52" s="25" t="inlineStr">
        <is>
          <t>QUADRA 34/LOTE 05</t>
        </is>
      </c>
      <c r="F52" s="52" t="inlineStr">
        <is>
          <t>ADIMPLENTE</t>
        </is>
      </c>
      <c r="G52" s="22" t="n">
        <v>122.54</v>
      </c>
      <c r="H52" s="20" t="n">
        <v>204</v>
      </c>
      <c r="I52" s="20" t="n">
        <v>102</v>
      </c>
      <c r="J52" s="21" t="n">
        <v>20866.89</v>
      </c>
      <c r="K52" s="44" t="n">
        <v>0</v>
      </c>
      <c r="L52" s="22" t="n">
        <v>0</v>
      </c>
      <c r="M52" s="22" t="n">
        <v>0</v>
      </c>
      <c r="N52" s="22" t="n">
        <v>0</v>
      </c>
      <c r="O52" s="22" t="n">
        <v>0</v>
      </c>
      <c r="P52" s="22" t="n">
        <v>0</v>
      </c>
      <c r="Q52" s="21" t="n">
        <v>0</v>
      </c>
      <c r="R52" s="20" t="n">
        <v>103</v>
      </c>
      <c r="S52" s="21" t="n">
        <v>34081.49</v>
      </c>
      <c r="T52" s="22" t="n">
        <v>54948.38</v>
      </c>
      <c r="U52" s="23" t="n">
        <v>0.379754</v>
      </c>
      <c r="V52" s="23" t="n">
        <v>0</v>
      </c>
      <c r="W52" s="23" t="n">
        <v>0.620246</v>
      </c>
      <c r="X52" s="40" t="n">
        <v>10</v>
      </c>
      <c r="Y52" s="18" t="n"/>
      <c r="Z52" s="18" t="inlineStr">
        <is>
          <t>NÃO</t>
        </is>
      </c>
    </row>
    <row r="53">
      <c r="A53" s="18" t="inlineStr">
        <is>
          <t>71/ALVLT</t>
        </is>
      </c>
      <c r="B53" s="18" t="inlineStr">
        <is>
          <t>SPE RESIDENCIAL OURILANDIA LTDA</t>
        </is>
      </c>
      <c r="C53" s="18" t="inlineStr">
        <is>
          <t>106</t>
        </is>
      </c>
      <c r="D53" s="18" t="inlineStr">
        <is>
          <t>CLEIDIMAR PEREIRA DA SILVA</t>
        </is>
      </c>
      <c r="E53" s="25" t="inlineStr">
        <is>
          <t>QUADRA 34/LOTE 10|QUADRA 34/LOTE 11|QUADRA 34/LOTE 12</t>
        </is>
      </c>
      <c r="F53" s="43" t="inlineStr">
        <is>
          <t>QUITADO</t>
        </is>
      </c>
      <c r="G53" s="22" t="n">
        <v>0</v>
      </c>
      <c r="H53" s="20" t="n">
        <v>192</v>
      </c>
      <c r="I53" s="20" t="n">
        <v>3</v>
      </c>
      <c r="J53" s="21" t="n">
        <v>1329.31</v>
      </c>
      <c r="K53" s="44" t="n">
        <v>0</v>
      </c>
      <c r="L53" s="22" t="n">
        <v>0</v>
      </c>
      <c r="M53" s="22" t="n">
        <v>0</v>
      </c>
      <c r="N53" s="22" t="n">
        <v>0</v>
      </c>
      <c r="O53" s="22" t="n">
        <v>0</v>
      </c>
      <c r="P53" s="22" t="n">
        <v>0</v>
      </c>
      <c r="Q53" s="21" t="n">
        <v>0</v>
      </c>
      <c r="R53" s="20" t="n">
        <v>0</v>
      </c>
      <c r="S53" s="21" t="n">
        <v>0</v>
      </c>
      <c r="T53" s="22" t="n">
        <v>1329.31</v>
      </c>
      <c r="U53" s="23" t="n">
        <v>1</v>
      </c>
      <c r="V53" s="23" t="n">
        <v>0</v>
      </c>
      <c r="W53" s="23" t="n">
        <v>0</v>
      </c>
      <c r="X53" s="40" t="n"/>
      <c r="Y53" s="18" t="n"/>
      <c r="Z53" s="18" t="inlineStr">
        <is>
          <t>NÃO</t>
        </is>
      </c>
    </row>
    <row r="54">
      <c r="A54" s="18" t="inlineStr">
        <is>
          <t>71/ALVLT</t>
        </is>
      </c>
      <c r="B54" s="18" t="inlineStr">
        <is>
          <t>SPE RESIDENCIAL OURILANDIA LTDA</t>
        </is>
      </c>
      <c r="C54" s="18" t="inlineStr">
        <is>
          <t>107</t>
        </is>
      </c>
      <c r="D54" s="18" t="inlineStr">
        <is>
          <t>PAULO CESAR TOME</t>
        </is>
      </c>
      <c r="E54" s="25" t="inlineStr">
        <is>
          <t>QUADRA 32/LOTE 07</t>
        </is>
      </c>
      <c r="F54" s="43" t="inlineStr">
        <is>
          <t>QUITADO</t>
        </is>
      </c>
      <c r="G54" s="22" t="n">
        <v>0</v>
      </c>
      <c r="H54" s="20" t="n">
        <v>192</v>
      </c>
      <c r="I54" s="20" t="n">
        <v>22</v>
      </c>
      <c r="J54" s="21" t="n">
        <v>3107.92</v>
      </c>
      <c r="K54" s="44" t="n">
        <v>0</v>
      </c>
      <c r="L54" s="22" t="n">
        <v>0</v>
      </c>
      <c r="M54" s="22" t="n">
        <v>0</v>
      </c>
      <c r="N54" s="22" t="n">
        <v>0</v>
      </c>
      <c r="O54" s="22" t="n">
        <v>0</v>
      </c>
      <c r="P54" s="22" t="n">
        <v>0</v>
      </c>
      <c r="Q54" s="21" t="n">
        <v>0</v>
      </c>
      <c r="R54" s="20" t="n">
        <v>0</v>
      </c>
      <c r="S54" s="21" t="n">
        <v>0</v>
      </c>
      <c r="T54" s="22" t="n">
        <v>3107.92</v>
      </c>
      <c r="U54" s="23" t="n">
        <v>1</v>
      </c>
      <c r="V54" s="23" t="n">
        <v>0</v>
      </c>
      <c r="W54" s="23" t="n">
        <v>0</v>
      </c>
      <c r="X54" s="40" t="n"/>
      <c r="Y54" s="18" t="n"/>
      <c r="Z54" s="18" t="inlineStr">
        <is>
          <t>NÃO</t>
        </is>
      </c>
    </row>
    <row r="55">
      <c r="A55" s="18" t="inlineStr">
        <is>
          <t>71/ALVLT</t>
        </is>
      </c>
      <c r="B55" s="18" t="inlineStr">
        <is>
          <t>SPE RESIDENCIAL OURILANDIA LTDA</t>
        </is>
      </c>
      <c r="C55" s="18" t="inlineStr">
        <is>
          <t>109</t>
        </is>
      </c>
      <c r="D55" s="18" t="inlineStr">
        <is>
          <t>VANDEIR DA SILVA</t>
        </is>
      </c>
      <c r="E55" s="25" t="inlineStr">
        <is>
          <t>QUADRA 33/LOTE 12</t>
        </is>
      </c>
      <c r="F55" s="43" t="inlineStr">
        <is>
          <t>QUITADO</t>
        </is>
      </c>
      <c r="G55" s="22" t="n">
        <v>0</v>
      </c>
      <c r="H55" s="20" t="n">
        <v>192</v>
      </c>
      <c r="I55" s="20" t="n">
        <v>6</v>
      </c>
      <c r="J55" s="21" t="n">
        <v>892.4400000000001</v>
      </c>
      <c r="K55" s="44" t="n">
        <v>0</v>
      </c>
      <c r="L55" s="22" t="n">
        <v>0</v>
      </c>
      <c r="M55" s="22" t="n">
        <v>0</v>
      </c>
      <c r="N55" s="22" t="n">
        <v>0</v>
      </c>
      <c r="O55" s="22" t="n">
        <v>0</v>
      </c>
      <c r="P55" s="22" t="n">
        <v>0</v>
      </c>
      <c r="Q55" s="21" t="n">
        <v>0</v>
      </c>
      <c r="R55" s="20" t="n">
        <v>0</v>
      </c>
      <c r="S55" s="21" t="n">
        <v>0</v>
      </c>
      <c r="T55" s="22" t="n">
        <v>892.4400000000001</v>
      </c>
      <c r="U55" s="23" t="n">
        <v>1</v>
      </c>
      <c r="V55" s="23" t="n">
        <v>0</v>
      </c>
      <c r="W55" s="23" t="n">
        <v>0</v>
      </c>
      <c r="X55" s="40" t="n"/>
      <c r="Y55" s="18" t="n"/>
      <c r="Z55" s="18" t="inlineStr">
        <is>
          <t>NÃO</t>
        </is>
      </c>
    </row>
    <row r="56">
      <c r="A56" s="18" t="inlineStr">
        <is>
          <t>71/ALVLT</t>
        </is>
      </c>
      <c r="B56" s="18" t="inlineStr">
        <is>
          <t>SPE RESIDENCIAL OURILANDIA LTDA</t>
        </is>
      </c>
      <c r="C56" s="18" t="inlineStr">
        <is>
          <t>11</t>
        </is>
      </c>
      <c r="D56" s="18" t="inlineStr">
        <is>
          <t>IRENILSON FREITAS MARINHO</t>
        </is>
      </c>
      <c r="E56" s="25" t="inlineStr">
        <is>
          <t>QUADRA 38/LOTE 24</t>
        </is>
      </c>
      <c r="F56" s="43" t="inlineStr">
        <is>
          <t>QUITADO</t>
        </is>
      </c>
      <c r="G56" s="22" t="n">
        <v>0</v>
      </c>
      <c r="H56" s="20" t="n">
        <v>120</v>
      </c>
      <c r="I56" s="20" t="n">
        <v>2</v>
      </c>
      <c r="J56" s="21" t="n">
        <v>495.3</v>
      </c>
      <c r="K56" s="44" t="n">
        <v>0</v>
      </c>
      <c r="L56" s="22" t="n">
        <v>0</v>
      </c>
      <c r="M56" s="22" t="n">
        <v>0</v>
      </c>
      <c r="N56" s="22" t="n">
        <v>0</v>
      </c>
      <c r="O56" s="22" t="n">
        <v>0</v>
      </c>
      <c r="P56" s="22" t="n">
        <v>0</v>
      </c>
      <c r="Q56" s="21" t="n">
        <v>0</v>
      </c>
      <c r="R56" s="20" t="n">
        <v>0</v>
      </c>
      <c r="S56" s="21" t="n">
        <v>0</v>
      </c>
      <c r="T56" s="22" t="n">
        <v>495.3</v>
      </c>
      <c r="U56" s="23" t="n">
        <v>1</v>
      </c>
      <c r="V56" s="23" t="n">
        <v>0</v>
      </c>
      <c r="W56" s="23" t="n">
        <v>0</v>
      </c>
      <c r="X56" s="40" t="n"/>
      <c r="Y56" s="18" t="n"/>
      <c r="Z56" s="18" t="inlineStr">
        <is>
          <t>NÃO</t>
        </is>
      </c>
    </row>
    <row r="57">
      <c r="A57" s="18" t="inlineStr">
        <is>
          <t>71/ALVLT</t>
        </is>
      </c>
      <c r="B57" s="18" t="inlineStr">
        <is>
          <t>SPE RESIDENCIAL OURILANDIA LTDA</t>
        </is>
      </c>
      <c r="C57" s="18" t="inlineStr">
        <is>
          <t>112</t>
        </is>
      </c>
      <c r="D57" s="18" t="inlineStr">
        <is>
          <t>MARCOS DA SILVA NOGUEIRA</t>
        </is>
      </c>
      <c r="E57" s="25" t="inlineStr">
        <is>
          <t>QUADRA 34/LOTE 16</t>
        </is>
      </c>
      <c r="F57" s="43" t="inlineStr">
        <is>
          <t>QUITADO</t>
        </is>
      </c>
      <c r="G57" s="22" t="n">
        <v>0</v>
      </c>
      <c r="H57" s="20" t="n">
        <v>144</v>
      </c>
      <c r="I57" s="20" t="n">
        <v>14</v>
      </c>
      <c r="J57" s="21" t="n">
        <v>2826.67</v>
      </c>
      <c r="K57" s="44" t="n">
        <v>0</v>
      </c>
      <c r="L57" s="22" t="n">
        <v>0</v>
      </c>
      <c r="M57" s="22" t="n">
        <v>0</v>
      </c>
      <c r="N57" s="22" t="n">
        <v>0</v>
      </c>
      <c r="O57" s="22" t="n">
        <v>0</v>
      </c>
      <c r="P57" s="22" t="n">
        <v>0</v>
      </c>
      <c r="Q57" s="21" t="n">
        <v>0</v>
      </c>
      <c r="R57" s="20" t="n">
        <v>0</v>
      </c>
      <c r="S57" s="21" t="n">
        <v>0</v>
      </c>
      <c r="T57" s="22" t="n">
        <v>2826.67</v>
      </c>
      <c r="U57" s="23" t="n">
        <v>1</v>
      </c>
      <c r="V57" s="23" t="n">
        <v>0</v>
      </c>
      <c r="W57" s="23" t="n">
        <v>0</v>
      </c>
      <c r="X57" s="40" t="n"/>
      <c r="Y57" s="18" t="n"/>
      <c r="Z57" s="18" t="inlineStr">
        <is>
          <t>NÃO</t>
        </is>
      </c>
    </row>
    <row r="58">
      <c r="A58" s="18" t="inlineStr">
        <is>
          <t>71/ALVLT</t>
        </is>
      </c>
      <c r="B58" s="18" t="inlineStr">
        <is>
          <t>SPE RESIDENCIAL OURILANDIA LTDA</t>
        </is>
      </c>
      <c r="C58" s="18" t="inlineStr">
        <is>
          <t>113</t>
        </is>
      </c>
      <c r="D58" s="18" t="inlineStr">
        <is>
          <t>JOSIVALDO CAMPOS PINTO</t>
        </is>
      </c>
      <c r="E58" s="25" t="inlineStr">
        <is>
          <t>QUADRA 40/LOTE 19</t>
        </is>
      </c>
      <c r="F58" s="43" t="inlineStr">
        <is>
          <t>QUITADO</t>
        </is>
      </c>
      <c r="G58" s="22" t="n">
        <v>0</v>
      </c>
      <c r="H58" s="20" t="n">
        <v>192</v>
      </c>
      <c r="I58" s="20" t="n">
        <v>1</v>
      </c>
      <c r="J58" s="21" t="n">
        <v>166.67</v>
      </c>
      <c r="K58" s="44" t="n">
        <v>0</v>
      </c>
      <c r="L58" s="22" t="n">
        <v>0</v>
      </c>
      <c r="M58" s="22" t="n">
        <v>0</v>
      </c>
      <c r="N58" s="22" t="n">
        <v>0</v>
      </c>
      <c r="O58" s="22" t="n">
        <v>0</v>
      </c>
      <c r="P58" s="22" t="n">
        <v>0</v>
      </c>
      <c r="Q58" s="21" t="n">
        <v>0</v>
      </c>
      <c r="R58" s="20" t="n">
        <v>0</v>
      </c>
      <c r="S58" s="21" t="n">
        <v>0</v>
      </c>
      <c r="T58" s="22" t="n">
        <v>166.67</v>
      </c>
      <c r="U58" s="23" t="n">
        <v>1</v>
      </c>
      <c r="V58" s="23" t="n">
        <v>0</v>
      </c>
      <c r="W58" s="23" t="n">
        <v>0</v>
      </c>
      <c r="X58" s="40" t="n"/>
      <c r="Y58" s="18" t="n"/>
      <c r="Z58" s="18" t="inlineStr">
        <is>
          <t>NÃO</t>
        </is>
      </c>
    </row>
    <row r="59">
      <c r="A59" s="18" t="inlineStr">
        <is>
          <t>71/ALVLT</t>
        </is>
      </c>
      <c r="B59" s="18" t="inlineStr">
        <is>
          <t>SPE RESIDENCIAL OURILANDIA LTDA</t>
        </is>
      </c>
      <c r="C59" s="18" t="inlineStr">
        <is>
          <t>114</t>
        </is>
      </c>
      <c r="D59" s="18" t="inlineStr">
        <is>
          <t>GUSTAVO SOARES ABREU</t>
        </is>
      </c>
      <c r="E59" s="25" t="inlineStr">
        <is>
          <t>QUADRA 21/LOTE 20|QUADRA 21/LOTEPER ODO POR RECEBIMENTO: 01/01/2001 A 31/12/2060</t>
        </is>
      </c>
      <c r="F59" s="43" t="inlineStr">
        <is>
          <t>QUITADO</t>
        </is>
      </c>
      <c r="G59" s="22" t="n">
        <v>0</v>
      </c>
      <c r="H59" s="20" t="n">
        <v>192</v>
      </c>
      <c r="I59" s="20" t="n">
        <v>2</v>
      </c>
      <c r="J59" s="21" t="n">
        <v>762.5899999999999</v>
      </c>
      <c r="K59" s="44" t="n">
        <v>0</v>
      </c>
      <c r="L59" s="22" t="n">
        <v>0</v>
      </c>
      <c r="M59" s="22" t="n">
        <v>0</v>
      </c>
      <c r="N59" s="22" t="n">
        <v>0</v>
      </c>
      <c r="O59" s="22" t="n">
        <v>0</v>
      </c>
      <c r="P59" s="22" t="n">
        <v>0</v>
      </c>
      <c r="Q59" s="21" t="n">
        <v>0</v>
      </c>
      <c r="R59" s="20" t="n">
        <v>0</v>
      </c>
      <c r="S59" s="21" t="n">
        <v>0</v>
      </c>
      <c r="T59" s="22" t="n">
        <v>762.59</v>
      </c>
      <c r="U59" s="23" t="n">
        <v>1</v>
      </c>
      <c r="V59" s="23" t="n">
        <v>0</v>
      </c>
      <c r="W59" s="23" t="n">
        <v>0</v>
      </c>
      <c r="X59" s="40" t="n"/>
      <c r="Y59" s="18" t="n"/>
      <c r="Z59" s="18" t="inlineStr">
        <is>
          <t>NÃO</t>
        </is>
      </c>
    </row>
    <row r="60">
      <c r="A60" s="18" t="inlineStr">
        <is>
          <t>71/ALVLT</t>
        </is>
      </c>
      <c r="B60" s="18" t="inlineStr">
        <is>
          <t>SPE RESIDENCIAL OURILANDIA LTDA</t>
        </is>
      </c>
      <c r="C60" s="18" t="inlineStr">
        <is>
          <t>115</t>
        </is>
      </c>
      <c r="D60" s="18" t="inlineStr">
        <is>
          <t>FRANCISMAR NUNES DE FRANCA SOUZA</t>
        </is>
      </c>
      <c r="E60" s="25" t="inlineStr">
        <is>
          <t>QUADRA 34/LOTE 29|QUADRA 34/LOTE 30</t>
        </is>
      </c>
      <c r="F60" s="43" t="inlineStr">
        <is>
          <t>QUITADO</t>
        </is>
      </c>
      <c r="G60" s="22" t="n">
        <v>0</v>
      </c>
      <c r="H60" s="20" t="n">
        <v>192</v>
      </c>
      <c r="I60" s="20" t="n">
        <v>6</v>
      </c>
      <c r="J60" s="21" t="n">
        <v>1758.3</v>
      </c>
      <c r="K60" s="44" t="n">
        <v>0</v>
      </c>
      <c r="L60" s="22" t="n">
        <v>0</v>
      </c>
      <c r="M60" s="22" t="n">
        <v>0</v>
      </c>
      <c r="N60" s="22" t="n">
        <v>0</v>
      </c>
      <c r="O60" s="22" t="n">
        <v>0</v>
      </c>
      <c r="P60" s="22" t="n">
        <v>0</v>
      </c>
      <c r="Q60" s="21" t="n">
        <v>0</v>
      </c>
      <c r="R60" s="20" t="n">
        <v>0</v>
      </c>
      <c r="S60" s="21" t="n">
        <v>0</v>
      </c>
      <c r="T60" s="22" t="n">
        <v>1758.3</v>
      </c>
      <c r="U60" s="23" t="n">
        <v>1</v>
      </c>
      <c r="V60" s="23" t="n">
        <v>0</v>
      </c>
      <c r="W60" s="23" t="n">
        <v>0</v>
      </c>
      <c r="X60" s="40" t="n"/>
      <c r="Y60" s="18" t="n"/>
      <c r="Z60" s="18" t="inlineStr">
        <is>
          <t>NÃO</t>
        </is>
      </c>
    </row>
    <row r="61">
      <c r="A61" s="18" t="inlineStr">
        <is>
          <t>71/ALVLT</t>
        </is>
      </c>
      <c r="B61" s="18" t="inlineStr">
        <is>
          <t>SPE RESIDENCIAL OURILANDIA LTDA</t>
        </is>
      </c>
      <c r="C61" s="18" t="inlineStr">
        <is>
          <t>116</t>
        </is>
      </c>
      <c r="D61" s="18" t="inlineStr">
        <is>
          <t>STHEFERSSON FRANCA DE OLIVEIRA</t>
        </is>
      </c>
      <c r="E61" s="25" t="inlineStr">
        <is>
          <t>QUADRA 34/LOTE 14</t>
        </is>
      </c>
      <c r="F61" s="43" t="inlineStr">
        <is>
          <t>QUITADO</t>
        </is>
      </c>
      <c r="G61" s="22" t="n">
        <v>0</v>
      </c>
      <c r="H61" s="20" t="n">
        <v>192</v>
      </c>
      <c r="I61" s="20" t="n">
        <v>3</v>
      </c>
      <c r="J61" s="21" t="n">
        <v>437.49</v>
      </c>
      <c r="K61" s="44" t="n">
        <v>0</v>
      </c>
      <c r="L61" s="22" t="n">
        <v>0</v>
      </c>
      <c r="M61" s="22" t="n">
        <v>0</v>
      </c>
      <c r="N61" s="22" t="n">
        <v>0</v>
      </c>
      <c r="O61" s="22" t="n">
        <v>0</v>
      </c>
      <c r="P61" s="22" t="n">
        <v>0</v>
      </c>
      <c r="Q61" s="21" t="n">
        <v>0</v>
      </c>
      <c r="R61" s="20" t="n">
        <v>0</v>
      </c>
      <c r="S61" s="21" t="n">
        <v>0</v>
      </c>
      <c r="T61" s="22" t="n">
        <v>437.49</v>
      </c>
      <c r="U61" s="23" t="n">
        <v>1</v>
      </c>
      <c r="V61" s="23" t="n">
        <v>0</v>
      </c>
      <c r="W61" s="23" t="n">
        <v>0</v>
      </c>
      <c r="X61" s="40" t="n"/>
      <c r="Y61" s="18" t="n"/>
      <c r="Z61" s="18" t="inlineStr">
        <is>
          <t>NÃO</t>
        </is>
      </c>
    </row>
    <row r="62">
      <c r="A62" s="18" t="inlineStr">
        <is>
          <t>71/ALVLT</t>
        </is>
      </c>
      <c r="B62" s="18" t="inlineStr">
        <is>
          <t>SPE RESIDENCIAL OURILANDIA LTDA</t>
        </is>
      </c>
      <c r="C62" s="18" t="inlineStr">
        <is>
          <t>117</t>
        </is>
      </c>
      <c r="D62" s="18" t="inlineStr">
        <is>
          <t>DANIELI MESQUITA CELESTE</t>
        </is>
      </c>
      <c r="E62" s="25" t="inlineStr">
        <is>
          <t>QUADRAPER ODO POR RECEBIMENTO: 01/01/2001 A 31/12/2060 08/11/2018 PARCELA 3/192 145,83 145,83 145,83 0,00 CELESTE 34/LOTE 15</t>
        </is>
      </c>
      <c r="F62" s="43" t="inlineStr">
        <is>
          <t>QUITADO</t>
        </is>
      </c>
      <c r="G62" s="22" t="n">
        <v>0</v>
      </c>
      <c r="H62" s="20" t="n">
        <v>192</v>
      </c>
      <c r="I62" s="20" t="n">
        <v>2</v>
      </c>
      <c r="J62" s="21" t="n">
        <v>291.66</v>
      </c>
      <c r="K62" s="44" t="n">
        <v>0</v>
      </c>
      <c r="L62" s="22" t="n">
        <v>0</v>
      </c>
      <c r="M62" s="22" t="n">
        <v>0</v>
      </c>
      <c r="N62" s="22" t="n">
        <v>0</v>
      </c>
      <c r="O62" s="22" t="n">
        <v>0</v>
      </c>
      <c r="P62" s="22" t="n">
        <v>0</v>
      </c>
      <c r="Q62" s="21" t="n">
        <v>0</v>
      </c>
      <c r="R62" s="20" t="n">
        <v>0</v>
      </c>
      <c r="S62" s="21" t="n">
        <v>0</v>
      </c>
      <c r="T62" s="22" t="n">
        <v>291.66</v>
      </c>
      <c r="U62" s="23" t="n">
        <v>1</v>
      </c>
      <c r="V62" s="23" t="n">
        <v>0</v>
      </c>
      <c r="W62" s="23" t="n">
        <v>0</v>
      </c>
      <c r="X62" s="40" t="n"/>
      <c r="Y62" s="18" t="n"/>
      <c r="Z62" s="18" t="inlineStr">
        <is>
          <t>NÃO</t>
        </is>
      </c>
    </row>
    <row r="63">
      <c r="A63" s="18" t="inlineStr">
        <is>
          <t>71/ALVLT</t>
        </is>
      </c>
      <c r="B63" s="18" t="inlineStr">
        <is>
          <t>SPE RESIDENCIAL OURILANDIA LTDA</t>
        </is>
      </c>
      <c r="C63" s="18" t="inlineStr">
        <is>
          <t>118</t>
        </is>
      </c>
      <c r="D63" s="18" t="inlineStr">
        <is>
          <t>GUSTAVO BATISTA DA SILVA</t>
        </is>
      </c>
      <c r="E63" s="25" t="inlineStr">
        <is>
          <t>QUADRA 34/LOTE 01</t>
        </is>
      </c>
      <c r="F63" s="52" t="inlineStr">
        <is>
          <t>ADIMPLENTE</t>
        </is>
      </c>
      <c r="G63" s="22" t="n">
        <v>166.67</v>
      </c>
      <c r="H63" s="20" t="n">
        <v>192</v>
      </c>
      <c r="I63" s="20" t="n">
        <v>91</v>
      </c>
      <c r="J63" s="21" t="n">
        <v>22503.64</v>
      </c>
      <c r="K63" s="44" t="n">
        <v>0</v>
      </c>
      <c r="L63" s="22" t="n">
        <v>0</v>
      </c>
      <c r="M63" s="22" t="n">
        <v>0</v>
      </c>
      <c r="N63" s="22" t="n">
        <v>0</v>
      </c>
      <c r="O63" s="22" t="n">
        <v>0</v>
      </c>
      <c r="P63" s="22" t="n">
        <v>0</v>
      </c>
      <c r="Q63" s="21" t="n">
        <v>0</v>
      </c>
      <c r="R63" s="20" t="n">
        <v>101</v>
      </c>
      <c r="S63" s="21" t="n">
        <v>38599.72</v>
      </c>
      <c r="T63" s="22" t="n">
        <v>61103.36</v>
      </c>
      <c r="U63" s="23" t="n">
        <v>0.368288</v>
      </c>
      <c r="V63" s="23" t="n">
        <v>0</v>
      </c>
      <c r="W63" s="23" t="n">
        <v>0.6317120000000001</v>
      </c>
      <c r="X63" s="40" t="n">
        <v>10</v>
      </c>
      <c r="Y63" s="18" t="n"/>
      <c r="Z63" s="18" t="inlineStr">
        <is>
          <t>NÃO</t>
        </is>
      </c>
    </row>
    <row r="64">
      <c r="A64" s="18" t="inlineStr">
        <is>
          <t>71/ALVLT</t>
        </is>
      </c>
      <c r="B64" s="18" t="inlineStr">
        <is>
          <t>SPE RESIDENCIAL OURILANDIA LTDA</t>
        </is>
      </c>
      <c r="C64" s="18" t="inlineStr">
        <is>
          <t>12</t>
        </is>
      </c>
      <c r="D64" s="18" t="inlineStr">
        <is>
          <t>IRENILSON FREITAS MARINHO</t>
        </is>
      </c>
      <c r="E64" s="25" t="inlineStr">
        <is>
          <t>QUADRA 38/LOTE 25</t>
        </is>
      </c>
      <c r="F64" s="43" t="inlineStr">
        <is>
          <t>QUITADO</t>
        </is>
      </c>
      <c r="G64" s="22" t="n">
        <v>0</v>
      </c>
      <c r="H64" s="20" t="n">
        <v>120</v>
      </c>
      <c r="I64" s="20" t="n">
        <v>2</v>
      </c>
      <c r="J64" s="21" t="n">
        <v>509.49</v>
      </c>
      <c r="K64" s="44" t="n">
        <v>0</v>
      </c>
      <c r="L64" s="22" t="n">
        <v>0</v>
      </c>
      <c r="M64" s="22" t="n">
        <v>0</v>
      </c>
      <c r="N64" s="22" t="n">
        <v>0</v>
      </c>
      <c r="O64" s="22" t="n">
        <v>0</v>
      </c>
      <c r="P64" s="22" t="n">
        <v>0</v>
      </c>
      <c r="Q64" s="21" t="n">
        <v>0</v>
      </c>
      <c r="R64" s="20" t="n">
        <v>0</v>
      </c>
      <c r="S64" s="21" t="n">
        <v>0</v>
      </c>
      <c r="T64" s="22" t="n">
        <v>509.49</v>
      </c>
      <c r="U64" s="23" t="n">
        <v>1</v>
      </c>
      <c r="V64" s="23" t="n">
        <v>0</v>
      </c>
      <c r="W64" s="23" t="n">
        <v>0</v>
      </c>
      <c r="X64" s="40" t="n"/>
      <c r="Y64" s="18" t="n"/>
      <c r="Z64" s="18" t="inlineStr">
        <is>
          <t>NÃO</t>
        </is>
      </c>
    </row>
    <row r="65">
      <c r="A65" s="18" t="inlineStr">
        <is>
          <t>71/ALVLT</t>
        </is>
      </c>
      <c r="B65" s="18" t="inlineStr">
        <is>
          <t>SPE RESIDENCIAL OURILANDIA LTDA</t>
        </is>
      </c>
      <c r="C65" s="18" t="inlineStr">
        <is>
          <t>121</t>
        </is>
      </c>
      <c r="D65" s="18" t="inlineStr">
        <is>
          <t>HERIKA CHAGAS DE SOUSA</t>
        </is>
      </c>
      <c r="E65" s="25" t="inlineStr">
        <is>
          <t>QUADRA 21/LOTE 07</t>
        </is>
      </c>
      <c r="F65" s="43" t="inlineStr">
        <is>
          <t>QUITADO</t>
        </is>
      </c>
      <c r="G65" s="22" t="n">
        <v>0</v>
      </c>
      <c r="H65" s="20" t="n">
        <v>192</v>
      </c>
      <c r="I65" s="20" t="n">
        <v>24</v>
      </c>
      <c r="J65" s="21" t="n">
        <v>4016.03</v>
      </c>
      <c r="K65" s="44" t="n">
        <v>0</v>
      </c>
      <c r="L65" s="22" t="n">
        <v>0</v>
      </c>
      <c r="M65" s="22" t="n">
        <v>0</v>
      </c>
      <c r="N65" s="22" t="n">
        <v>0</v>
      </c>
      <c r="O65" s="22" t="n">
        <v>0</v>
      </c>
      <c r="P65" s="22" t="n">
        <v>0</v>
      </c>
      <c r="Q65" s="21" t="n">
        <v>0</v>
      </c>
      <c r="R65" s="20" t="n">
        <v>0</v>
      </c>
      <c r="S65" s="21" t="n">
        <v>0</v>
      </c>
      <c r="T65" s="22" t="n">
        <v>4016.03</v>
      </c>
      <c r="U65" s="23" t="n">
        <v>1</v>
      </c>
      <c r="V65" s="23" t="n">
        <v>0</v>
      </c>
      <c r="W65" s="23" t="n">
        <v>0</v>
      </c>
      <c r="X65" s="40" t="n"/>
      <c r="Y65" s="18" t="n"/>
      <c r="Z65" s="18" t="inlineStr">
        <is>
          <t>NÃO</t>
        </is>
      </c>
    </row>
    <row r="66">
      <c r="A66" s="18" t="inlineStr">
        <is>
          <t>71/ALVLT</t>
        </is>
      </c>
      <c r="B66" s="18" t="inlineStr">
        <is>
          <t>SPE RESIDENCIAL OURILANDIA LTDA</t>
        </is>
      </c>
      <c r="C66" s="18" t="inlineStr">
        <is>
          <t>124</t>
        </is>
      </c>
      <c r="D66" s="18" t="inlineStr">
        <is>
          <t>ADENILSON DOS SANTOS DIAS</t>
        </is>
      </c>
      <c r="E66" s="25" t="inlineStr">
        <is>
          <t>QUADRA 21/LOTE 15</t>
        </is>
      </c>
      <c r="F66" s="43" t="inlineStr">
        <is>
          <t>QUITADO</t>
        </is>
      </c>
      <c r="G66" s="22" t="n">
        <v>0</v>
      </c>
      <c r="H66" s="20" t="n">
        <v>192</v>
      </c>
      <c r="I66" s="20" t="n">
        <v>43</v>
      </c>
      <c r="J66" s="21" t="n">
        <v>7945.76</v>
      </c>
      <c r="K66" s="44" t="n">
        <v>0</v>
      </c>
      <c r="L66" s="22" t="n">
        <v>0</v>
      </c>
      <c r="M66" s="22" t="n">
        <v>0</v>
      </c>
      <c r="N66" s="22" t="n">
        <v>0</v>
      </c>
      <c r="O66" s="22" t="n">
        <v>0</v>
      </c>
      <c r="P66" s="22" t="n">
        <v>0</v>
      </c>
      <c r="Q66" s="21" t="n">
        <v>0</v>
      </c>
      <c r="R66" s="20" t="n">
        <v>0</v>
      </c>
      <c r="S66" s="21" t="n">
        <v>0</v>
      </c>
      <c r="T66" s="22" t="n">
        <v>7945.76</v>
      </c>
      <c r="U66" s="23" t="n">
        <v>1</v>
      </c>
      <c r="V66" s="23" t="n">
        <v>0</v>
      </c>
      <c r="W66" s="23" t="n">
        <v>0</v>
      </c>
      <c r="X66" s="40" t="n"/>
      <c r="Y66" s="18" t="n"/>
      <c r="Z66" s="18" t="inlineStr">
        <is>
          <t>NÃO</t>
        </is>
      </c>
    </row>
    <row r="67">
      <c r="A67" s="18" t="inlineStr">
        <is>
          <t>71/ALVLT</t>
        </is>
      </c>
      <c r="B67" s="18" t="inlineStr">
        <is>
          <t>SPE RESIDENCIAL OURILANDIA LTDA</t>
        </is>
      </c>
      <c r="C67" s="18" t="inlineStr">
        <is>
          <t>13</t>
        </is>
      </c>
      <c r="D67" s="18" t="inlineStr">
        <is>
          <t>IRENILSON FREITAS MARINHO</t>
        </is>
      </c>
      <c r="E67" s="25" t="inlineStr">
        <is>
          <t>QUADRA 38/LOTE 26</t>
        </is>
      </c>
      <c r="F67" s="43" t="inlineStr">
        <is>
          <t>QUITADO</t>
        </is>
      </c>
      <c r="G67" s="22" t="n">
        <v>0</v>
      </c>
      <c r="H67" s="20" t="n">
        <v>120</v>
      </c>
      <c r="I67" s="20" t="n">
        <v>1</v>
      </c>
      <c r="J67" s="21" t="n">
        <v>266.34</v>
      </c>
      <c r="K67" s="44" t="n">
        <v>0</v>
      </c>
      <c r="L67" s="22" t="n">
        <v>0</v>
      </c>
      <c r="M67" s="22" t="n">
        <v>0</v>
      </c>
      <c r="N67" s="22" t="n">
        <v>0</v>
      </c>
      <c r="O67" s="22" t="n">
        <v>0</v>
      </c>
      <c r="P67" s="22" t="n">
        <v>0</v>
      </c>
      <c r="Q67" s="21" t="n">
        <v>0</v>
      </c>
      <c r="R67" s="20" t="n">
        <v>0</v>
      </c>
      <c r="S67" s="21" t="n">
        <v>0</v>
      </c>
      <c r="T67" s="22" t="n">
        <v>266.34</v>
      </c>
      <c r="U67" s="23" t="n">
        <v>1</v>
      </c>
      <c r="V67" s="23" t="n">
        <v>0</v>
      </c>
      <c r="W67" s="23" t="n">
        <v>0</v>
      </c>
      <c r="X67" s="40" t="n"/>
      <c r="Y67" s="18" t="n"/>
      <c r="Z67" s="18" t="inlineStr">
        <is>
          <t>NÃO</t>
        </is>
      </c>
    </row>
    <row r="68">
      <c r="A68" s="18" t="inlineStr">
        <is>
          <t>71/ALVLT</t>
        </is>
      </c>
      <c r="B68" s="18" t="inlineStr">
        <is>
          <t>SPE RESIDENCIAL OURILANDIA LTDA</t>
        </is>
      </c>
      <c r="C68" s="18" t="inlineStr">
        <is>
          <t>132</t>
        </is>
      </c>
      <c r="D68" s="18" t="inlineStr">
        <is>
          <t>RAYLANE DOS SANTOS SOUSA COSTA</t>
        </is>
      </c>
      <c r="E68" s="25" t="inlineStr">
        <is>
          <t>QUADRA 22/LOTE 19</t>
        </is>
      </c>
      <c r="F68" s="52" t="inlineStr">
        <is>
          <t>ADIMPLENTE</t>
        </is>
      </c>
      <c r="G68" s="22" t="n">
        <v>303.46</v>
      </c>
      <c r="H68" s="20" t="n">
        <v>120</v>
      </c>
      <c r="I68" s="20" t="n">
        <v>71</v>
      </c>
      <c r="J68" s="21" t="n">
        <v>30405.31</v>
      </c>
      <c r="K68" s="44" t="n">
        <v>0</v>
      </c>
      <c r="L68" s="22" t="n">
        <v>0</v>
      </c>
      <c r="M68" s="22" t="n">
        <v>0</v>
      </c>
      <c r="N68" s="22" t="n">
        <v>0</v>
      </c>
      <c r="O68" s="22" t="n">
        <v>0</v>
      </c>
      <c r="P68" s="22" t="n">
        <v>0</v>
      </c>
      <c r="Q68" s="21" t="n">
        <v>0</v>
      </c>
      <c r="R68" s="20" t="n">
        <v>49</v>
      </c>
      <c r="S68" s="21" t="n">
        <v>29564.64</v>
      </c>
      <c r="T68" s="22" t="n">
        <v>59969.95</v>
      </c>
      <c r="U68" s="23" t="n">
        <v>0.507009</v>
      </c>
      <c r="V68" s="23" t="n">
        <v>0</v>
      </c>
      <c r="W68" s="23" t="n">
        <v>0.492991</v>
      </c>
      <c r="X68" s="40" t="n">
        <v>10</v>
      </c>
      <c r="Y68" s="18" t="n"/>
      <c r="Z68" s="18" t="inlineStr">
        <is>
          <t>NÃO</t>
        </is>
      </c>
    </row>
    <row r="69">
      <c r="A69" s="18" t="inlineStr">
        <is>
          <t>71/ALVLT</t>
        </is>
      </c>
      <c r="B69" s="18" t="inlineStr">
        <is>
          <t>SPE RESIDENCIAL OURILANDIA LTDA</t>
        </is>
      </c>
      <c r="C69" s="18" t="inlineStr">
        <is>
          <t>134</t>
        </is>
      </c>
      <c r="D69" s="18" t="inlineStr">
        <is>
          <t>CLEIDIMAR PEREIRA DA SILVA</t>
        </is>
      </c>
      <c r="E69" s="25" t="inlineStr">
        <is>
          <t>QUADRA 34/LOTE 10</t>
        </is>
      </c>
      <c r="F69" s="43" t="inlineStr">
        <is>
          <t>QUITADO</t>
        </is>
      </c>
      <c r="G69" s="22" t="n">
        <v>1240.54</v>
      </c>
      <c r="H69" s="20" t="n">
        <v>1</v>
      </c>
      <c r="I69" s="20" t="n">
        <v>1</v>
      </c>
      <c r="J69" s="21" t="n">
        <v>1240.54</v>
      </c>
      <c r="K69" s="44" t="n">
        <v>0</v>
      </c>
      <c r="L69" s="22" t="n">
        <v>0</v>
      </c>
      <c r="M69" s="22" t="n">
        <v>0</v>
      </c>
      <c r="N69" s="22" t="n">
        <v>0</v>
      </c>
      <c r="O69" s="22" t="n">
        <v>0</v>
      </c>
      <c r="P69" s="22" t="n">
        <v>0</v>
      </c>
      <c r="Q69" s="21" t="n">
        <v>0</v>
      </c>
      <c r="R69" s="20" t="n">
        <v>0</v>
      </c>
      <c r="S69" s="21" t="n">
        <v>0</v>
      </c>
      <c r="T69" s="22" t="n">
        <v>1240.54</v>
      </c>
      <c r="U69" s="23" t="n">
        <v>1</v>
      </c>
      <c r="V69" s="23" t="n">
        <v>0</v>
      </c>
      <c r="W69" s="23" t="n">
        <v>0</v>
      </c>
      <c r="X69" s="40" t="n"/>
      <c r="Y69" s="18" t="n"/>
      <c r="Z69" s="18" t="inlineStr">
        <is>
          <t>NÃO</t>
        </is>
      </c>
    </row>
    <row r="70">
      <c r="A70" s="18" t="inlineStr">
        <is>
          <t>71/ALVLT</t>
        </is>
      </c>
      <c r="B70" s="18" t="inlineStr">
        <is>
          <t>SPE RESIDENCIAL OURILANDIA LTDA</t>
        </is>
      </c>
      <c r="C70" s="18" t="inlineStr">
        <is>
          <t>135</t>
        </is>
      </c>
      <c r="D70" s="18" t="inlineStr">
        <is>
          <t>BRENO GOMES NEVES</t>
        </is>
      </c>
      <c r="E70" s="25" t="inlineStr">
        <is>
          <t>QUADRA 34/LOTE 17</t>
        </is>
      </c>
      <c r="F70" s="43" t="inlineStr">
        <is>
          <t>QUITADO</t>
        </is>
      </c>
      <c r="G70" s="22" t="n">
        <v>10000</v>
      </c>
      <c r="H70" s="20" t="n">
        <v>1</v>
      </c>
      <c r="I70" s="20" t="n">
        <v>1</v>
      </c>
      <c r="J70" s="21" t="n">
        <v>10000</v>
      </c>
      <c r="K70" s="44" t="n">
        <v>0</v>
      </c>
      <c r="L70" s="22" t="n">
        <v>0</v>
      </c>
      <c r="M70" s="22" t="n">
        <v>0</v>
      </c>
      <c r="N70" s="22" t="n">
        <v>0</v>
      </c>
      <c r="O70" s="22" t="n">
        <v>0</v>
      </c>
      <c r="P70" s="22" t="n">
        <v>0</v>
      </c>
      <c r="Q70" s="21" t="n">
        <v>0</v>
      </c>
      <c r="R70" s="20" t="n">
        <v>0</v>
      </c>
      <c r="S70" s="21" t="n">
        <v>0</v>
      </c>
      <c r="T70" s="22" t="n">
        <v>10000</v>
      </c>
      <c r="U70" s="23" t="n">
        <v>1</v>
      </c>
      <c r="V70" s="23" t="n">
        <v>0</v>
      </c>
      <c r="W70" s="23" t="n">
        <v>0</v>
      </c>
      <c r="X70" s="40" t="n"/>
      <c r="Y70" s="18" t="n"/>
      <c r="Z70" s="18" t="inlineStr">
        <is>
          <t>NÃO</t>
        </is>
      </c>
    </row>
    <row r="71">
      <c r="A71" s="18" t="inlineStr">
        <is>
          <t>71/ALVLT</t>
        </is>
      </c>
      <c r="B71" s="18" t="inlineStr">
        <is>
          <t>SPE RESIDENCIAL OURILANDIA LTDA</t>
        </is>
      </c>
      <c r="C71" s="18" t="inlineStr">
        <is>
          <t>136</t>
        </is>
      </c>
      <c r="D71" s="18" t="inlineStr">
        <is>
          <t>BRENO GOMES NEVES</t>
        </is>
      </c>
      <c r="E71" s="25" t="inlineStr">
        <is>
          <t>QUADRA 34/LOTE 18</t>
        </is>
      </c>
      <c r="F71" s="43" t="inlineStr">
        <is>
          <t>QUITADO</t>
        </is>
      </c>
      <c r="G71" s="22" t="n">
        <v>10000</v>
      </c>
      <c r="H71" s="20" t="n">
        <v>1</v>
      </c>
      <c r="I71" s="20" t="n">
        <v>1</v>
      </c>
      <c r="J71" s="21" t="n">
        <v>10000</v>
      </c>
      <c r="K71" s="44" t="n">
        <v>0</v>
      </c>
      <c r="L71" s="22" t="n">
        <v>0</v>
      </c>
      <c r="M71" s="22" t="n">
        <v>0</v>
      </c>
      <c r="N71" s="22" t="n">
        <v>0</v>
      </c>
      <c r="O71" s="22" t="n">
        <v>0</v>
      </c>
      <c r="P71" s="22" t="n">
        <v>0</v>
      </c>
      <c r="Q71" s="21" t="n">
        <v>0</v>
      </c>
      <c r="R71" s="20" t="n">
        <v>0</v>
      </c>
      <c r="S71" s="21" t="n">
        <v>0</v>
      </c>
      <c r="T71" s="22" t="n">
        <v>10000</v>
      </c>
      <c r="U71" s="23" t="n">
        <v>1</v>
      </c>
      <c r="V71" s="23" t="n">
        <v>0</v>
      </c>
      <c r="W71" s="23" t="n">
        <v>0</v>
      </c>
      <c r="X71" s="40" t="n"/>
      <c r="Y71" s="18" t="n"/>
      <c r="Z71" s="18" t="inlineStr">
        <is>
          <t>NÃO</t>
        </is>
      </c>
    </row>
    <row r="72">
      <c r="A72" s="18" t="inlineStr">
        <is>
          <t>71/ALVLT</t>
        </is>
      </c>
      <c r="B72" s="18" t="inlineStr">
        <is>
          <t>SPE RESIDENCIAL OURILANDIA LTDA</t>
        </is>
      </c>
      <c r="C72" s="18" t="inlineStr">
        <is>
          <t>137</t>
        </is>
      </c>
      <c r="D72" s="18" t="inlineStr">
        <is>
          <t>DIVINO PEREIRA DA COSTA</t>
        </is>
      </c>
      <c r="E72" s="25" t="inlineStr">
        <is>
          <t>QUADRA 22/LOTE 20</t>
        </is>
      </c>
      <c r="F72" s="43" t="inlineStr">
        <is>
          <t>QUITADO</t>
        </is>
      </c>
      <c r="G72" s="22" t="n">
        <v>0</v>
      </c>
      <c r="H72" s="20" t="n">
        <v>71</v>
      </c>
      <c r="I72" s="20" t="n">
        <v>71</v>
      </c>
      <c r="J72" s="21" t="n">
        <v>49194.11</v>
      </c>
      <c r="K72" s="44" t="n">
        <v>0</v>
      </c>
      <c r="L72" s="22" t="n">
        <v>0</v>
      </c>
      <c r="M72" s="22" t="n">
        <v>0</v>
      </c>
      <c r="N72" s="22" t="n">
        <v>0</v>
      </c>
      <c r="O72" s="22" t="n">
        <v>0</v>
      </c>
      <c r="P72" s="22" t="n">
        <v>0</v>
      </c>
      <c r="Q72" s="21" t="n">
        <v>0</v>
      </c>
      <c r="R72" s="20" t="n">
        <v>0</v>
      </c>
      <c r="S72" s="21" t="n">
        <v>0</v>
      </c>
      <c r="T72" s="22" t="n">
        <v>49194.11</v>
      </c>
      <c r="U72" s="23" t="n">
        <v>1</v>
      </c>
      <c r="V72" s="23" t="n">
        <v>0</v>
      </c>
      <c r="W72" s="23" t="n">
        <v>0</v>
      </c>
      <c r="X72" s="40" t="n"/>
      <c r="Y72" s="18" t="n"/>
      <c r="Z72" s="18" t="inlineStr">
        <is>
          <t>NÃO</t>
        </is>
      </c>
    </row>
    <row r="73">
      <c r="A73" s="18" t="inlineStr">
        <is>
          <t>71/ALVLT</t>
        </is>
      </c>
      <c r="B73" s="18" t="inlineStr">
        <is>
          <t>SPE RESIDENCIAL OURILANDIA LTDA</t>
        </is>
      </c>
      <c r="C73" s="18" t="inlineStr">
        <is>
          <t>138</t>
        </is>
      </c>
      <c r="D73" s="18" t="inlineStr">
        <is>
          <t>SEBASTI O CARNEIRO DE SOUSA</t>
        </is>
      </c>
      <c r="E73" s="25" t="inlineStr">
        <is>
          <t>QUADRA 21/LOTE 07</t>
        </is>
      </c>
      <c r="F73" s="52" t="inlineStr">
        <is>
          <t>ADIMPLENTE</t>
        </is>
      </c>
      <c r="G73" s="22" t="n">
        <v>759.9400000000001</v>
      </c>
      <c r="H73" s="20" t="n">
        <v>192</v>
      </c>
      <c r="I73" s="20" t="n">
        <v>57</v>
      </c>
      <c r="J73" s="21" t="n">
        <v>13612.22</v>
      </c>
      <c r="K73" s="44" t="n">
        <v>0</v>
      </c>
      <c r="L73" s="22" t="n">
        <v>0</v>
      </c>
      <c r="M73" s="22" t="n">
        <v>0</v>
      </c>
      <c r="N73" s="22" t="n">
        <v>0</v>
      </c>
      <c r="O73" s="22" t="n">
        <v>0</v>
      </c>
      <c r="P73" s="22" t="n">
        <v>0</v>
      </c>
      <c r="Q73" s="21" t="n">
        <v>0</v>
      </c>
      <c r="R73" s="20" t="n">
        <v>48</v>
      </c>
      <c r="S73" s="21" t="n">
        <v>36477.12</v>
      </c>
      <c r="T73" s="22" t="n">
        <v>50089.34</v>
      </c>
      <c r="U73" s="23" t="n">
        <v>0.271759</v>
      </c>
      <c r="V73" s="23" t="n">
        <v>0</v>
      </c>
      <c r="W73" s="23" t="n">
        <v>0.728241</v>
      </c>
      <c r="X73" s="40" t="n">
        <v>10</v>
      </c>
      <c r="Y73" s="18" t="n"/>
      <c r="Z73" s="18" t="inlineStr">
        <is>
          <t>NÃO</t>
        </is>
      </c>
    </row>
    <row r="74">
      <c r="A74" s="18" t="inlineStr">
        <is>
          <t>71/ALVLT</t>
        </is>
      </c>
      <c r="B74" s="18" t="inlineStr">
        <is>
          <t>SPE RESIDENCIAL OURILANDIA LTDA</t>
        </is>
      </c>
      <c r="C74" s="18" t="inlineStr">
        <is>
          <t>14</t>
        </is>
      </c>
      <c r="D74" s="18" t="inlineStr">
        <is>
          <t>JOSE PEREIRA DA SILVA</t>
        </is>
      </c>
      <c r="E74" s="25" t="inlineStr">
        <is>
          <t>QUADRA 34/LOTE 20</t>
        </is>
      </c>
      <c r="F74" s="43" t="inlineStr">
        <is>
          <t>QUITADO</t>
        </is>
      </c>
      <c r="G74" s="22" t="n">
        <v>0</v>
      </c>
      <c r="H74" s="20" t="n">
        <v>120</v>
      </c>
      <c r="I74" s="20" t="n">
        <v>120</v>
      </c>
      <c r="J74" s="21" t="n">
        <v>60645.48</v>
      </c>
      <c r="K74" s="44" t="n">
        <v>0</v>
      </c>
      <c r="L74" s="22" t="n">
        <v>0</v>
      </c>
      <c r="M74" s="22" t="n">
        <v>0</v>
      </c>
      <c r="N74" s="22" t="n">
        <v>0</v>
      </c>
      <c r="O74" s="22" t="n">
        <v>0</v>
      </c>
      <c r="P74" s="22" t="n">
        <v>0</v>
      </c>
      <c r="Q74" s="21" t="n">
        <v>0</v>
      </c>
      <c r="R74" s="20" t="n">
        <v>0</v>
      </c>
      <c r="S74" s="21" t="n">
        <v>0</v>
      </c>
      <c r="T74" s="22" t="n">
        <v>60645.48</v>
      </c>
      <c r="U74" s="23" t="n">
        <v>1</v>
      </c>
      <c r="V74" s="23" t="n">
        <v>0</v>
      </c>
      <c r="W74" s="23" t="n">
        <v>0</v>
      </c>
      <c r="X74" s="40" t="n"/>
      <c r="Y74" s="18" t="n"/>
      <c r="Z74" s="18" t="inlineStr">
        <is>
          <t>NÃO</t>
        </is>
      </c>
    </row>
    <row r="75">
      <c r="A75" s="18" t="inlineStr">
        <is>
          <t>71/ALVLT</t>
        </is>
      </c>
      <c r="B75" s="18" t="inlineStr">
        <is>
          <t>SPE RESIDENCIAL OURILANDIA LTDA</t>
        </is>
      </c>
      <c r="C75" s="18" t="inlineStr">
        <is>
          <t>140</t>
        </is>
      </c>
      <c r="D75" s="18" t="inlineStr">
        <is>
          <t>CUSTODIO CARDOSO DOS SANTOS</t>
        </is>
      </c>
      <c r="E75" s="25" t="inlineStr">
        <is>
          <t>QUADRA 16/LOTE 01|QUADRA 16/LOTE 02|QUADRA 16/LOTE 03</t>
        </is>
      </c>
      <c r="F75" s="43" t="inlineStr">
        <is>
          <t>QUITADO</t>
        </is>
      </c>
      <c r="G75" s="22" t="n">
        <v>60000</v>
      </c>
      <c r="H75" s="20" t="n">
        <v>1</v>
      </c>
      <c r="I75" s="20" t="n">
        <v>1</v>
      </c>
      <c r="J75" s="21" t="n">
        <v>60000</v>
      </c>
      <c r="K75" s="44" t="n">
        <v>0</v>
      </c>
      <c r="L75" s="22" t="n">
        <v>0</v>
      </c>
      <c r="M75" s="22" t="n">
        <v>0</v>
      </c>
      <c r="N75" s="22" t="n">
        <v>0</v>
      </c>
      <c r="O75" s="22" t="n">
        <v>0</v>
      </c>
      <c r="P75" s="22" t="n">
        <v>0</v>
      </c>
      <c r="Q75" s="21" t="n">
        <v>0</v>
      </c>
      <c r="R75" s="20" t="n">
        <v>0</v>
      </c>
      <c r="S75" s="21" t="n">
        <v>0</v>
      </c>
      <c r="T75" s="22" t="n">
        <v>60000</v>
      </c>
      <c r="U75" s="23" t="n">
        <v>1</v>
      </c>
      <c r="V75" s="23" t="n">
        <v>0</v>
      </c>
      <c r="W75" s="23" t="n">
        <v>0</v>
      </c>
      <c r="X75" s="40" t="n"/>
      <c r="Y75" s="18" t="n"/>
      <c r="Z75" s="18" t="inlineStr">
        <is>
          <t>NÃO</t>
        </is>
      </c>
    </row>
    <row r="76">
      <c r="A76" s="18" t="inlineStr">
        <is>
          <t>71/ALVLT</t>
        </is>
      </c>
      <c r="B76" s="18" t="inlineStr">
        <is>
          <t>SPE RESIDENCIAL OURILANDIA LTDA</t>
        </is>
      </c>
      <c r="C76" s="18" t="inlineStr">
        <is>
          <t>142</t>
        </is>
      </c>
      <c r="D76" s="18" t="inlineStr">
        <is>
          <t>DCR MELO COMERCIO</t>
        </is>
      </c>
      <c r="E76" s="25" t="inlineStr">
        <is>
          <t>QUADRA 23/LOTE 01</t>
        </is>
      </c>
      <c r="F76" s="43" t="inlineStr">
        <is>
          <t>QUITADO</t>
        </is>
      </c>
      <c r="G76" s="22" t="n">
        <v>0</v>
      </c>
      <c r="H76" s="20" t="n">
        <v>120</v>
      </c>
      <c r="I76" s="20" t="n">
        <v>25</v>
      </c>
      <c r="J76" s="21" t="n">
        <v>11913.04</v>
      </c>
      <c r="K76" s="44" t="n">
        <v>0</v>
      </c>
      <c r="L76" s="22" t="n">
        <v>0</v>
      </c>
      <c r="M76" s="22" t="n">
        <v>0</v>
      </c>
      <c r="N76" s="22" t="n">
        <v>0</v>
      </c>
      <c r="O76" s="22" t="n">
        <v>0</v>
      </c>
      <c r="P76" s="22" t="n">
        <v>0</v>
      </c>
      <c r="Q76" s="21" t="n">
        <v>0</v>
      </c>
      <c r="R76" s="20" t="n">
        <v>0</v>
      </c>
      <c r="S76" s="21" t="n">
        <v>0</v>
      </c>
      <c r="T76" s="22" t="n">
        <v>11913.04</v>
      </c>
      <c r="U76" s="23" t="n">
        <v>1</v>
      </c>
      <c r="V76" s="23" t="n">
        <v>0</v>
      </c>
      <c r="W76" s="23" t="n">
        <v>0</v>
      </c>
      <c r="X76" s="40" t="n"/>
      <c r="Y76" s="18" t="n"/>
      <c r="Z76" s="18" t="inlineStr">
        <is>
          <t>NÃO</t>
        </is>
      </c>
    </row>
    <row r="77">
      <c r="A77" s="18" t="inlineStr">
        <is>
          <t>71/ALVLT</t>
        </is>
      </c>
      <c r="B77" s="18" t="inlineStr">
        <is>
          <t>SPE RESIDENCIAL OURILANDIA LTDA</t>
        </is>
      </c>
      <c r="C77" s="18" t="inlineStr">
        <is>
          <t>145</t>
        </is>
      </c>
      <c r="D77" s="18" t="inlineStr">
        <is>
          <t>BRENO GOMES NEVES</t>
        </is>
      </c>
      <c r="E77" s="25" t="inlineStr">
        <is>
          <t>QUADRA 34/LOTE 16</t>
        </is>
      </c>
      <c r="F77" s="43" t="inlineStr">
        <is>
          <t>QUITADO</t>
        </is>
      </c>
      <c r="G77" s="22" t="n">
        <v>0</v>
      </c>
      <c r="H77" s="20" t="n">
        <v>11</v>
      </c>
      <c r="I77" s="20" t="n">
        <v>11</v>
      </c>
      <c r="J77" s="21" t="n">
        <v>15000</v>
      </c>
      <c r="K77" s="44" t="n">
        <v>0</v>
      </c>
      <c r="L77" s="22" t="n">
        <v>0</v>
      </c>
      <c r="M77" s="22" t="n">
        <v>0</v>
      </c>
      <c r="N77" s="22" t="n">
        <v>0</v>
      </c>
      <c r="O77" s="22" t="n">
        <v>0</v>
      </c>
      <c r="P77" s="22" t="n">
        <v>0</v>
      </c>
      <c r="Q77" s="21" t="n">
        <v>0</v>
      </c>
      <c r="R77" s="20" t="n">
        <v>0</v>
      </c>
      <c r="S77" s="21" t="n">
        <v>0</v>
      </c>
      <c r="T77" s="22" t="n">
        <v>15000</v>
      </c>
      <c r="U77" s="23" t="n">
        <v>1</v>
      </c>
      <c r="V77" s="23" t="n">
        <v>0</v>
      </c>
      <c r="W77" s="23" t="n">
        <v>0</v>
      </c>
      <c r="X77" s="40" t="n"/>
      <c r="Y77" s="18" t="n"/>
      <c r="Z77" s="18" t="inlineStr">
        <is>
          <t>NÃO</t>
        </is>
      </c>
    </row>
    <row r="78">
      <c r="A78" s="18" t="inlineStr">
        <is>
          <t>71/ALVLT</t>
        </is>
      </c>
      <c r="B78" s="18" t="inlineStr">
        <is>
          <t>SPE RESIDENCIAL OURILANDIA LTDA</t>
        </is>
      </c>
      <c r="C78" s="18" t="inlineStr">
        <is>
          <t>146</t>
        </is>
      </c>
      <c r="D78" s="18" t="inlineStr">
        <is>
          <t>MUNICIPIO DE OURILANDIA DO NORTE</t>
        </is>
      </c>
      <c r="E78" s="25" t="inlineStr">
        <is>
          <t>QUADRA 21/LOTE 16|QUADRA 21/LOTE 17</t>
        </is>
      </c>
      <c r="F78" s="43" t="inlineStr">
        <is>
          <t>QUITADO</t>
        </is>
      </c>
      <c r="G78" s="22" t="n">
        <v>24722.18</v>
      </c>
      <c r="H78" s="20" t="n">
        <v>1</v>
      </c>
      <c r="I78" s="20" t="n">
        <v>1</v>
      </c>
      <c r="J78" s="21" t="n">
        <v>24722.18</v>
      </c>
      <c r="K78" s="44" t="n">
        <v>0</v>
      </c>
      <c r="L78" s="22" t="n">
        <v>0</v>
      </c>
      <c r="M78" s="22" t="n">
        <v>0</v>
      </c>
      <c r="N78" s="22" t="n">
        <v>0</v>
      </c>
      <c r="O78" s="22" t="n">
        <v>0</v>
      </c>
      <c r="P78" s="22" t="n">
        <v>0</v>
      </c>
      <c r="Q78" s="21" t="n">
        <v>0</v>
      </c>
      <c r="R78" s="20" t="n">
        <v>0</v>
      </c>
      <c r="S78" s="21" t="n">
        <v>0</v>
      </c>
      <c r="T78" s="22" t="n">
        <v>24722.18</v>
      </c>
      <c r="U78" s="23" t="n">
        <v>1</v>
      </c>
      <c r="V78" s="23" t="n">
        <v>0</v>
      </c>
      <c r="W78" s="23" t="n">
        <v>0</v>
      </c>
      <c r="X78" s="40" t="n"/>
      <c r="Y78" s="18" t="n"/>
      <c r="Z78" s="18" t="inlineStr">
        <is>
          <t>NÃO</t>
        </is>
      </c>
    </row>
    <row r="79">
      <c r="A79" s="18" t="inlineStr">
        <is>
          <t>71/ALVLT</t>
        </is>
      </c>
      <c r="B79" s="18" t="inlineStr">
        <is>
          <t>SPE RESIDENCIAL OURILANDIA LTDA</t>
        </is>
      </c>
      <c r="C79" s="18" t="inlineStr">
        <is>
          <t>148</t>
        </is>
      </c>
      <c r="D79" s="18" t="inlineStr">
        <is>
          <t>JOAQUIM NETO PEREIRA BARROS</t>
        </is>
      </c>
      <c r="E79" s="25" t="inlineStr">
        <is>
          <t>QUADRA 06/LOTE 01</t>
        </is>
      </c>
      <c r="F79" s="43" t="inlineStr">
        <is>
          <t>QUITADO</t>
        </is>
      </c>
      <c r="G79" s="22" t="n">
        <v>0</v>
      </c>
      <c r="H79" s="20" t="n">
        <v>96</v>
      </c>
      <c r="I79" s="20" t="n">
        <v>14</v>
      </c>
      <c r="J79" s="21" t="n">
        <v>5411.44</v>
      </c>
      <c r="K79" s="44" t="n">
        <v>0</v>
      </c>
      <c r="L79" s="22" t="n">
        <v>0</v>
      </c>
      <c r="M79" s="22" t="n">
        <v>0</v>
      </c>
      <c r="N79" s="22" t="n">
        <v>0</v>
      </c>
      <c r="O79" s="22" t="n">
        <v>0</v>
      </c>
      <c r="P79" s="22" t="n">
        <v>0</v>
      </c>
      <c r="Q79" s="21" t="n">
        <v>0</v>
      </c>
      <c r="R79" s="20" t="n">
        <v>0</v>
      </c>
      <c r="S79" s="21" t="n">
        <v>0</v>
      </c>
      <c r="T79" s="22" t="n">
        <v>5411.44</v>
      </c>
      <c r="U79" s="23" t="n">
        <v>1</v>
      </c>
      <c r="V79" s="23" t="n">
        <v>0</v>
      </c>
      <c r="W79" s="23" t="n">
        <v>0</v>
      </c>
      <c r="X79" s="40" t="n"/>
      <c r="Y79" s="18" t="n"/>
      <c r="Z79" s="18" t="inlineStr">
        <is>
          <t>NÃO</t>
        </is>
      </c>
    </row>
    <row r="80">
      <c r="A80" s="45" t="inlineStr">
        <is>
          <t>71/ALVLT</t>
        </is>
      </c>
      <c r="B80" s="45" t="inlineStr">
        <is>
          <t>SPE RESIDENCIAL OURILANDIA LTDA</t>
        </is>
      </c>
      <c r="C80" s="45" t="inlineStr">
        <is>
          <t>149</t>
        </is>
      </c>
      <c r="D80" s="45" t="inlineStr">
        <is>
          <t>MUNICIPIO DE OURILANDIA DO NORTE</t>
        </is>
      </c>
      <c r="E80" s="46" t="inlineStr">
        <is>
          <t>QUADRA 32/LOTE 03|QUADRA 32/LOTE 04|QUADRA 32/LOTE 05|QUADR PER ODO POR RECEBIMENTO: 01/01/2001 A 31/12/2060 A 32/LOTE 06|QUADRA 33/LOTE 01|QUADRA 33/LOTE 02|QUADRA 33/LOTE 03|QUADRA 33/LOTE 04|QUADRA 33/LOTE 05|QUADRA 33/LOTE 06|QUADRA 33/LOTE 07|QUADRA 33/LOTE 08|QUADRA 33/LOTE 16|QUADRA 33/LOTE 17|QUADRA 33/LOTE 18|QUADRA 33/LOTE 19|QUADRA 33/LOTE 20</t>
        </is>
      </c>
      <c r="F80" s="47" t="inlineStr">
        <is>
          <t>QUITADO</t>
        </is>
      </c>
      <c r="G80" s="48" t="n">
        <v>141666.67</v>
      </c>
      <c r="H80" s="49" t="n">
        <v>1</v>
      </c>
      <c r="I80" s="49" t="n">
        <v>1</v>
      </c>
      <c r="J80" s="50" t="n">
        <v>141666.67</v>
      </c>
      <c r="K80" s="44" t="n">
        <v>0</v>
      </c>
      <c r="L80" s="48" t="n">
        <v>0</v>
      </c>
      <c r="M80" s="48" t="n">
        <v>0</v>
      </c>
      <c r="N80" s="48" t="n">
        <v>0</v>
      </c>
      <c r="O80" s="48" t="n">
        <v>0</v>
      </c>
      <c r="P80" s="48" t="n">
        <v>0</v>
      </c>
      <c r="Q80" s="50" t="n">
        <v>0</v>
      </c>
      <c r="R80" s="49" t="n">
        <v>0</v>
      </c>
      <c r="S80" s="50" t="n">
        <v>0</v>
      </c>
      <c r="T80" s="48" t="n">
        <v>141666.67</v>
      </c>
      <c r="U80" s="51" t="n">
        <v>1</v>
      </c>
      <c r="V80" s="51" t="n">
        <v>0</v>
      </c>
      <c r="W80" s="51" t="n">
        <v>0</v>
      </c>
      <c r="X80" s="40" t="n"/>
      <c r="Y80" s="45" t="n"/>
      <c r="Z80" s="45" t="inlineStr">
        <is>
          <t>SIM</t>
        </is>
      </c>
    </row>
    <row r="81">
      <c r="A81" s="18" t="inlineStr">
        <is>
          <t>71/ALVLT</t>
        </is>
      </c>
      <c r="B81" s="18" t="inlineStr">
        <is>
          <t>SPE RESIDENCIAL OURILANDIA LTDA</t>
        </is>
      </c>
      <c r="C81" s="18" t="inlineStr">
        <is>
          <t>15</t>
        </is>
      </c>
      <c r="D81" s="18" t="inlineStr">
        <is>
          <t>IGREJA EVANGELICA ASSEMBL IA DE DEUS</t>
        </is>
      </c>
      <c r="E81" s="25" t="inlineStr">
        <is>
          <t>QUADRA 40/LOTE 11</t>
        </is>
      </c>
      <c r="F81" s="43" t="inlineStr">
        <is>
          <t>QUITADO</t>
        </is>
      </c>
      <c r="G81" s="22" t="n">
        <v>0</v>
      </c>
      <c r="H81" s="20" t="n">
        <v>120</v>
      </c>
      <c r="I81" s="20" t="n">
        <v>120</v>
      </c>
      <c r="J81" s="21" t="n">
        <v>25000.57</v>
      </c>
      <c r="K81" s="44" t="n">
        <v>0</v>
      </c>
      <c r="L81" s="22" t="n">
        <v>0</v>
      </c>
      <c r="M81" s="22" t="n">
        <v>0</v>
      </c>
      <c r="N81" s="22" t="n">
        <v>0</v>
      </c>
      <c r="O81" s="22" t="n">
        <v>0</v>
      </c>
      <c r="P81" s="22" t="n">
        <v>0</v>
      </c>
      <c r="Q81" s="21" t="n">
        <v>0</v>
      </c>
      <c r="R81" s="20" t="n">
        <v>0</v>
      </c>
      <c r="S81" s="21" t="n">
        <v>0</v>
      </c>
      <c r="T81" s="22" t="n">
        <v>25000.57</v>
      </c>
      <c r="U81" s="23" t="n">
        <v>1</v>
      </c>
      <c r="V81" s="23" t="n">
        <v>0</v>
      </c>
      <c r="W81" s="23" t="n">
        <v>0</v>
      </c>
      <c r="X81" s="40" t="n"/>
      <c r="Y81" s="18" t="n"/>
      <c r="Z81" s="18" t="inlineStr">
        <is>
          <t>NÃO</t>
        </is>
      </c>
    </row>
    <row r="82">
      <c r="A82" s="18" t="inlineStr">
        <is>
          <t>71/ALVLT</t>
        </is>
      </c>
      <c r="B82" s="18" t="inlineStr">
        <is>
          <t>SPE RESIDENCIAL OURILANDIA LTDA</t>
        </is>
      </c>
      <c r="C82" s="18" t="inlineStr">
        <is>
          <t>150</t>
        </is>
      </c>
      <c r="D82" s="18" t="inlineStr">
        <is>
          <t>MUNICIPIO DE OURILANDIA DO NORTE</t>
        </is>
      </c>
      <c r="E82" s="25" t="inlineStr">
        <is>
          <t>QUADRA 32/LOTE 07</t>
        </is>
      </c>
      <c r="F82" s="43" t="inlineStr">
        <is>
          <t>QUITADO</t>
        </is>
      </c>
      <c r="G82" s="22" t="n">
        <v>8333.33</v>
      </c>
      <c r="H82" s="20" t="n">
        <v>1</v>
      </c>
      <c r="I82" s="20" t="n">
        <v>1</v>
      </c>
      <c r="J82" s="21" t="n">
        <v>8333.33</v>
      </c>
      <c r="K82" s="44" t="n">
        <v>0</v>
      </c>
      <c r="L82" s="22" t="n">
        <v>0</v>
      </c>
      <c r="M82" s="22" t="n">
        <v>0</v>
      </c>
      <c r="N82" s="22" t="n">
        <v>0</v>
      </c>
      <c r="O82" s="22" t="n">
        <v>0</v>
      </c>
      <c r="P82" s="22" t="n">
        <v>0</v>
      </c>
      <c r="Q82" s="21" t="n">
        <v>0</v>
      </c>
      <c r="R82" s="20" t="n">
        <v>0</v>
      </c>
      <c r="S82" s="21" t="n">
        <v>0</v>
      </c>
      <c r="T82" s="22" t="n">
        <v>8333.33</v>
      </c>
      <c r="U82" s="23" t="n">
        <v>1</v>
      </c>
      <c r="V82" s="23" t="n">
        <v>0</v>
      </c>
      <c r="W82" s="23" t="n">
        <v>0</v>
      </c>
      <c r="X82" s="40" t="n"/>
      <c r="Y82" s="18" t="n"/>
      <c r="Z82" s="18" t="inlineStr">
        <is>
          <t>NÃO</t>
        </is>
      </c>
    </row>
    <row r="83">
      <c r="A83" s="18" t="inlineStr">
        <is>
          <t>71/ALVLT</t>
        </is>
      </c>
      <c r="B83" s="18" t="inlineStr">
        <is>
          <t>SPE RESIDENCIAL OURILANDIA LTDA</t>
        </is>
      </c>
      <c r="C83" s="18" t="inlineStr">
        <is>
          <t>151</t>
        </is>
      </c>
      <c r="D83" s="18" t="inlineStr">
        <is>
          <t>LIDIA BATISTA DA SILVA</t>
        </is>
      </c>
      <c r="E83" s="25" t="inlineStr">
        <is>
          <t>QUADRA 34/LOTE 02</t>
        </is>
      </c>
      <c r="F83" s="43" t="inlineStr">
        <is>
          <t>QUITADO</t>
        </is>
      </c>
      <c r="G83" s="22" t="n">
        <v>0</v>
      </c>
      <c r="H83" s="20" t="n">
        <v>12</v>
      </c>
      <c r="I83" s="20" t="n">
        <v>12</v>
      </c>
      <c r="J83" s="21" t="n">
        <v>13500</v>
      </c>
      <c r="K83" s="44" t="n">
        <v>0</v>
      </c>
      <c r="L83" s="22" t="n">
        <v>0</v>
      </c>
      <c r="M83" s="22" t="n">
        <v>0</v>
      </c>
      <c r="N83" s="22" t="n">
        <v>0</v>
      </c>
      <c r="O83" s="22" t="n">
        <v>0</v>
      </c>
      <c r="P83" s="22" t="n">
        <v>0</v>
      </c>
      <c r="Q83" s="21" t="n">
        <v>0</v>
      </c>
      <c r="R83" s="20" t="n">
        <v>0</v>
      </c>
      <c r="S83" s="21" t="n">
        <v>0</v>
      </c>
      <c r="T83" s="22" t="n">
        <v>13500</v>
      </c>
      <c r="U83" s="23" t="n">
        <v>1</v>
      </c>
      <c r="V83" s="23" t="n">
        <v>0</v>
      </c>
      <c r="W83" s="23" t="n">
        <v>0</v>
      </c>
      <c r="X83" s="40" t="n"/>
      <c r="Y83" s="18" t="n"/>
      <c r="Z83" s="18" t="inlineStr">
        <is>
          <t>NÃO</t>
        </is>
      </c>
    </row>
    <row r="84">
      <c r="A84" s="18" t="inlineStr">
        <is>
          <t>71/ALVLT</t>
        </is>
      </c>
      <c r="B84" s="18" t="inlineStr">
        <is>
          <t>SPE RESIDENCIAL OURILANDIA LTDA</t>
        </is>
      </c>
      <c r="C84" s="18" t="inlineStr">
        <is>
          <t>152</t>
        </is>
      </c>
      <c r="D84" s="18" t="inlineStr">
        <is>
          <t>LIDIA BATISTA DA SILVA</t>
        </is>
      </c>
      <c r="E84" s="25" t="inlineStr">
        <is>
          <t>QUADRA 34/LOTE 03</t>
        </is>
      </c>
      <c r="F84" s="43" t="inlineStr">
        <is>
          <t>QUITADO</t>
        </is>
      </c>
      <c r="G84" s="22" t="n">
        <v>0</v>
      </c>
      <c r="H84" s="20" t="n">
        <v>12</v>
      </c>
      <c r="I84" s="20" t="n">
        <v>12</v>
      </c>
      <c r="J84" s="21" t="n">
        <v>13500</v>
      </c>
      <c r="K84" s="44" t="n">
        <v>0</v>
      </c>
      <c r="L84" s="22" t="n">
        <v>0</v>
      </c>
      <c r="M84" s="22" t="n">
        <v>0</v>
      </c>
      <c r="N84" s="22" t="n">
        <v>0</v>
      </c>
      <c r="O84" s="22" t="n">
        <v>0</v>
      </c>
      <c r="P84" s="22" t="n">
        <v>0</v>
      </c>
      <c r="Q84" s="21" t="n">
        <v>0</v>
      </c>
      <c r="R84" s="20" t="n">
        <v>0</v>
      </c>
      <c r="S84" s="21" t="n">
        <v>0</v>
      </c>
      <c r="T84" s="22" t="n">
        <v>13500</v>
      </c>
      <c r="U84" s="23" t="n">
        <v>1</v>
      </c>
      <c r="V84" s="23" t="n">
        <v>0</v>
      </c>
      <c r="W84" s="23" t="n">
        <v>0</v>
      </c>
      <c r="X84" s="40" t="n"/>
      <c r="Y84" s="18" t="n"/>
      <c r="Z84" s="18" t="inlineStr">
        <is>
          <t>NÃO</t>
        </is>
      </c>
    </row>
    <row r="85">
      <c r="A85" s="18" t="inlineStr">
        <is>
          <t>71/ALVLT</t>
        </is>
      </c>
      <c r="B85" s="18" t="inlineStr">
        <is>
          <t>SPE RESIDENCIAL OURILANDIA LTDA</t>
        </is>
      </c>
      <c r="C85" s="18" t="inlineStr">
        <is>
          <t>153</t>
        </is>
      </c>
      <c r="D85" s="18" t="inlineStr">
        <is>
          <t>JOSE FERREIRA DO CARMOS J NIOR</t>
        </is>
      </c>
      <c r="E85" s="25" t="inlineStr">
        <is>
          <t>QUADRA 38/LOTE 26</t>
        </is>
      </c>
      <c r="F85" s="43" t="inlineStr">
        <is>
          <t>QUITADO</t>
        </is>
      </c>
      <c r="G85" s="22" t="n">
        <v>0</v>
      </c>
      <c r="H85" s="20" t="n">
        <v>12</v>
      </c>
      <c r="I85" s="20" t="n">
        <v>12</v>
      </c>
      <c r="J85" s="21" t="n">
        <v>15901.04</v>
      </c>
      <c r="K85" s="44" t="n">
        <v>0</v>
      </c>
      <c r="L85" s="22" t="n">
        <v>0</v>
      </c>
      <c r="M85" s="22" t="n">
        <v>0</v>
      </c>
      <c r="N85" s="22" t="n">
        <v>0</v>
      </c>
      <c r="O85" s="22" t="n">
        <v>0</v>
      </c>
      <c r="P85" s="22" t="n">
        <v>0</v>
      </c>
      <c r="Q85" s="21" t="n">
        <v>0</v>
      </c>
      <c r="R85" s="20" t="n">
        <v>0</v>
      </c>
      <c r="S85" s="21" t="n">
        <v>0</v>
      </c>
      <c r="T85" s="22" t="n">
        <v>15901.04</v>
      </c>
      <c r="U85" s="23" t="n">
        <v>1</v>
      </c>
      <c r="V85" s="23" t="n">
        <v>0</v>
      </c>
      <c r="W85" s="23" t="n">
        <v>0</v>
      </c>
      <c r="X85" s="40" t="n"/>
      <c r="Y85" s="18" t="n"/>
      <c r="Z85" s="18" t="inlineStr">
        <is>
          <t>NÃO</t>
        </is>
      </c>
    </row>
    <row r="86">
      <c r="A86" s="18" t="inlineStr">
        <is>
          <t>71/ALVLT</t>
        </is>
      </c>
      <c r="B86" s="18" t="inlineStr">
        <is>
          <t>SPE RESIDENCIAL OURILANDIA LTDA</t>
        </is>
      </c>
      <c r="C86" s="18" t="inlineStr">
        <is>
          <t>154</t>
        </is>
      </c>
      <c r="D86" s="18" t="inlineStr">
        <is>
          <t>ARNALDO PEREIRA DA COSTA</t>
        </is>
      </c>
      <c r="E86" s="25" t="inlineStr">
        <is>
          <t>QUADRA 38/LOTE 25</t>
        </is>
      </c>
      <c r="F86" s="43" t="inlineStr">
        <is>
          <t>QUITADO</t>
        </is>
      </c>
      <c r="G86" s="22" t="n">
        <v>0</v>
      </c>
      <c r="H86" s="20" t="n">
        <v>12</v>
      </c>
      <c r="I86" s="20" t="n">
        <v>12</v>
      </c>
      <c r="J86" s="21" t="n">
        <v>15494.29</v>
      </c>
      <c r="K86" s="44" t="n">
        <v>0</v>
      </c>
      <c r="L86" s="22" t="n">
        <v>0</v>
      </c>
      <c r="M86" s="22" t="n">
        <v>0</v>
      </c>
      <c r="N86" s="22" t="n">
        <v>0</v>
      </c>
      <c r="O86" s="22" t="n">
        <v>0</v>
      </c>
      <c r="P86" s="22" t="n">
        <v>0</v>
      </c>
      <c r="Q86" s="21" t="n">
        <v>0</v>
      </c>
      <c r="R86" s="20" t="n">
        <v>0</v>
      </c>
      <c r="S86" s="21" t="n">
        <v>0</v>
      </c>
      <c r="T86" s="22" t="n">
        <v>15494.29</v>
      </c>
      <c r="U86" s="23" t="n">
        <v>1</v>
      </c>
      <c r="V86" s="23" t="n">
        <v>0</v>
      </c>
      <c r="W86" s="23" t="n">
        <v>0</v>
      </c>
      <c r="X86" s="40" t="n"/>
      <c r="Y86" s="18" t="n"/>
      <c r="Z86" s="18" t="inlineStr">
        <is>
          <t>NÃO</t>
        </is>
      </c>
    </row>
    <row r="87">
      <c r="A87" s="18" t="inlineStr">
        <is>
          <t>71/ALVLT</t>
        </is>
      </c>
      <c r="B87" s="18" t="inlineStr">
        <is>
          <t>SPE RESIDENCIAL OURILANDIA LTDA</t>
        </is>
      </c>
      <c r="C87" s="18" t="inlineStr">
        <is>
          <t>155</t>
        </is>
      </c>
      <c r="D87" s="18" t="inlineStr">
        <is>
          <t>JOSE RIBAMAR LOPES FILHO</t>
        </is>
      </c>
      <c r="E87" s="25" t="inlineStr">
        <is>
          <t>QUADRA 21/LOTE 14</t>
        </is>
      </c>
      <c r="F87" s="43" t="inlineStr">
        <is>
          <t>QUITADO</t>
        </is>
      </c>
      <c r="G87" s="22" t="n">
        <v>0</v>
      </c>
      <c r="H87" s="20" t="n">
        <v>36</v>
      </c>
      <c r="I87" s="20" t="n">
        <v>20</v>
      </c>
      <c r="J87" s="21" t="n">
        <v>15004.24</v>
      </c>
      <c r="K87" s="44" t="n">
        <v>0</v>
      </c>
      <c r="L87" s="22" t="n">
        <v>0</v>
      </c>
      <c r="M87" s="22" t="n">
        <v>0</v>
      </c>
      <c r="N87" s="22" t="n">
        <v>0</v>
      </c>
      <c r="O87" s="22" t="n">
        <v>0</v>
      </c>
      <c r="P87" s="22" t="n">
        <v>0</v>
      </c>
      <c r="Q87" s="21" t="n">
        <v>0</v>
      </c>
      <c r="R87" s="20" t="n">
        <v>0</v>
      </c>
      <c r="S87" s="21" t="n">
        <v>0</v>
      </c>
      <c r="T87" s="22" t="n">
        <v>15004.24</v>
      </c>
      <c r="U87" s="23" t="n">
        <v>1</v>
      </c>
      <c r="V87" s="23" t="n">
        <v>0</v>
      </c>
      <c r="W87" s="23" t="n">
        <v>0</v>
      </c>
      <c r="X87" s="40" t="n"/>
      <c r="Y87" s="18" t="n"/>
      <c r="Z87" s="18" t="inlineStr">
        <is>
          <t>NÃO</t>
        </is>
      </c>
    </row>
    <row r="88">
      <c r="A88" s="18" t="inlineStr">
        <is>
          <t>71/ALVLT</t>
        </is>
      </c>
      <c r="B88" s="18" t="inlineStr">
        <is>
          <t>SPE RESIDENCIAL OURILANDIA LTDA</t>
        </is>
      </c>
      <c r="C88" s="18" t="inlineStr">
        <is>
          <t>156</t>
        </is>
      </c>
      <c r="D88" s="18" t="inlineStr">
        <is>
          <t>RAYLANE DOS SANTOS SOUSA COSTA</t>
        </is>
      </c>
      <c r="E88" s="25" t="inlineStr">
        <is>
          <t>QUADRA 22/LOTE 21</t>
        </is>
      </c>
      <c r="F88" s="43" t="inlineStr">
        <is>
          <t>QUITADO</t>
        </is>
      </c>
      <c r="G88" s="22" t="n">
        <v>0</v>
      </c>
      <c r="H88" s="20" t="n">
        <v>12</v>
      </c>
      <c r="I88" s="20" t="n">
        <v>12</v>
      </c>
      <c r="J88" s="21" t="n">
        <v>13912.71</v>
      </c>
      <c r="K88" s="44" t="n">
        <v>0</v>
      </c>
      <c r="L88" s="22" t="n">
        <v>0</v>
      </c>
      <c r="M88" s="22" t="n">
        <v>0</v>
      </c>
      <c r="N88" s="22" t="n">
        <v>0</v>
      </c>
      <c r="O88" s="22" t="n">
        <v>0</v>
      </c>
      <c r="P88" s="22" t="n">
        <v>0</v>
      </c>
      <c r="Q88" s="21" t="n">
        <v>0</v>
      </c>
      <c r="R88" s="20" t="n">
        <v>0</v>
      </c>
      <c r="S88" s="21" t="n">
        <v>0</v>
      </c>
      <c r="T88" s="22" t="n">
        <v>13912.71</v>
      </c>
      <c r="U88" s="23" t="n">
        <v>1</v>
      </c>
      <c r="V88" s="23" t="n">
        <v>0</v>
      </c>
      <c r="W88" s="23" t="n">
        <v>0</v>
      </c>
      <c r="X88" s="40" t="n"/>
      <c r="Y88" s="18" t="n"/>
      <c r="Z88" s="18" t="inlineStr">
        <is>
          <t>NÃO</t>
        </is>
      </c>
    </row>
    <row r="89">
      <c r="A89" s="18" t="inlineStr">
        <is>
          <t>71/ALVLT</t>
        </is>
      </c>
      <c r="B89" s="18" t="inlineStr">
        <is>
          <t>SPE RESIDENCIAL OURILANDIA LTDA</t>
        </is>
      </c>
      <c r="C89" s="18" t="inlineStr">
        <is>
          <t>158</t>
        </is>
      </c>
      <c r="D89" s="18" t="inlineStr">
        <is>
          <t>MOABE PEREIRA TELES</t>
        </is>
      </c>
      <c r="E89" s="25" t="inlineStr">
        <is>
          <t>QUADRA 22/LOTE 26</t>
        </is>
      </c>
      <c r="F89" s="43" t="inlineStr">
        <is>
          <t>QUITADO</t>
        </is>
      </c>
      <c r="G89" s="22" t="n">
        <v>0</v>
      </c>
      <c r="H89" s="20" t="n">
        <v>12</v>
      </c>
      <c r="I89" s="20" t="n">
        <v>12</v>
      </c>
      <c r="J89" s="21" t="n">
        <v>13316.77</v>
      </c>
      <c r="K89" s="44" t="n">
        <v>0</v>
      </c>
      <c r="L89" s="22" t="n">
        <v>0</v>
      </c>
      <c r="M89" s="22" t="n">
        <v>0</v>
      </c>
      <c r="N89" s="22" t="n">
        <v>0</v>
      </c>
      <c r="O89" s="22" t="n">
        <v>0</v>
      </c>
      <c r="P89" s="22" t="n">
        <v>0</v>
      </c>
      <c r="Q89" s="21" t="n">
        <v>0</v>
      </c>
      <c r="R89" s="20" t="n">
        <v>0</v>
      </c>
      <c r="S89" s="21" t="n">
        <v>0</v>
      </c>
      <c r="T89" s="22" t="n">
        <v>13316.77</v>
      </c>
      <c r="U89" s="23" t="n">
        <v>1</v>
      </c>
      <c r="V89" s="23" t="n">
        <v>0</v>
      </c>
      <c r="W89" s="23" t="n">
        <v>0</v>
      </c>
      <c r="X89" s="40" t="n"/>
      <c r="Y89" s="18" t="n"/>
      <c r="Z89" s="18" t="inlineStr">
        <is>
          <t>NÃO</t>
        </is>
      </c>
    </row>
    <row r="90">
      <c r="A90" s="18" t="inlineStr">
        <is>
          <t>71/ALVLT</t>
        </is>
      </c>
      <c r="B90" s="18" t="inlineStr">
        <is>
          <t>SPE RESIDENCIAL OURILANDIA LTDA</t>
        </is>
      </c>
      <c r="C90" s="18" t="inlineStr">
        <is>
          <t>159</t>
        </is>
      </c>
      <c r="D90" s="18" t="inlineStr">
        <is>
          <t>JOSIMAR CANDIDO DA SILVA</t>
        </is>
      </c>
      <c r="E90" s="25" t="inlineStr">
        <is>
          <t>QUADRA 21/LOTE 10</t>
        </is>
      </c>
      <c r="F90" s="43" t="inlineStr">
        <is>
          <t>QUITADO</t>
        </is>
      </c>
      <c r="G90" s="22" t="n">
        <v>0</v>
      </c>
      <c r="H90" s="20" t="n">
        <v>12</v>
      </c>
      <c r="I90" s="20" t="n">
        <v>12</v>
      </c>
      <c r="J90" s="21" t="n">
        <v>11848.66</v>
      </c>
      <c r="K90" s="44" t="n">
        <v>0</v>
      </c>
      <c r="L90" s="22" t="n">
        <v>0</v>
      </c>
      <c r="M90" s="22" t="n">
        <v>0</v>
      </c>
      <c r="N90" s="22" t="n">
        <v>0</v>
      </c>
      <c r="O90" s="22" t="n">
        <v>0</v>
      </c>
      <c r="P90" s="22" t="n">
        <v>0</v>
      </c>
      <c r="Q90" s="21" t="n">
        <v>0</v>
      </c>
      <c r="R90" s="20" t="n">
        <v>0</v>
      </c>
      <c r="S90" s="21" t="n">
        <v>0</v>
      </c>
      <c r="T90" s="22" t="n">
        <v>11848.66</v>
      </c>
      <c r="U90" s="23" t="n">
        <v>1</v>
      </c>
      <c r="V90" s="23" t="n">
        <v>0</v>
      </c>
      <c r="W90" s="23" t="n">
        <v>0</v>
      </c>
      <c r="X90" s="40" t="n"/>
      <c r="Y90" s="18" t="n"/>
      <c r="Z90" s="18" t="inlineStr">
        <is>
          <t>NÃO</t>
        </is>
      </c>
    </row>
    <row r="91">
      <c r="A91" s="18" t="inlineStr">
        <is>
          <t>71/ALVLT</t>
        </is>
      </c>
      <c r="B91" s="18" t="inlineStr">
        <is>
          <t>SPE RESIDENCIAL OURILANDIA LTDA</t>
        </is>
      </c>
      <c r="C91" s="18" t="inlineStr">
        <is>
          <t>16</t>
        </is>
      </c>
      <c r="D91" s="18" t="inlineStr">
        <is>
          <t>IGREJA EVANGELICA ASSEMBL IA DE DEUS</t>
        </is>
      </c>
      <c r="E91" s="25" t="inlineStr">
        <is>
          <t>QUADRA 40/LOTE 16</t>
        </is>
      </c>
      <c r="F91" s="43" t="inlineStr">
        <is>
          <t>QUITADO</t>
        </is>
      </c>
      <c r="G91" s="22" t="n">
        <v>0</v>
      </c>
      <c r="H91" s="20" t="n">
        <v>120</v>
      </c>
      <c r="I91" s="20" t="n">
        <v>120</v>
      </c>
      <c r="J91" s="21" t="n">
        <v>25000.49</v>
      </c>
      <c r="K91" s="44" t="n">
        <v>0</v>
      </c>
      <c r="L91" s="22" t="n">
        <v>0</v>
      </c>
      <c r="M91" s="22" t="n">
        <v>0</v>
      </c>
      <c r="N91" s="22" t="n">
        <v>0</v>
      </c>
      <c r="O91" s="22" t="n">
        <v>0</v>
      </c>
      <c r="P91" s="22" t="n">
        <v>0</v>
      </c>
      <c r="Q91" s="21" t="n">
        <v>0</v>
      </c>
      <c r="R91" s="20" t="n">
        <v>0</v>
      </c>
      <c r="S91" s="21" t="n">
        <v>0</v>
      </c>
      <c r="T91" s="22" t="n">
        <v>25000.49</v>
      </c>
      <c r="U91" s="23" t="n">
        <v>1</v>
      </c>
      <c r="V91" s="23" t="n">
        <v>0</v>
      </c>
      <c r="W91" s="23" t="n">
        <v>0</v>
      </c>
      <c r="X91" s="40" t="n"/>
      <c r="Y91" s="18" t="n"/>
      <c r="Z91" s="18" t="inlineStr">
        <is>
          <t>NÃO</t>
        </is>
      </c>
    </row>
    <row r="92">
      <c r="A92" s="18" t="inlineStr">
        <is>
          <t>71/ALVLT</t>
        </is>
      </c>
      <c r="B92" s="18" t="inlineStr">
        <is>
          <t>SPE RESIDENCIAL OURILANDIA LTDA</t>
        </is>
      </c>
      <c r="C92" s="18" t="inlineStr">
        <is>
          <t>160</t>
        </is>
      </c>
      <c r="D92" s="18" t="inlineStr">
        <is>
          <t>MARTINHO LACERDA DE MELO</t>
        </is>
      </c>
      <c r="E92" s="25" t="inlineStr">
        <is>
          <t>QUADRA 34/LOTE 13</t>
        </is>
      </c>
      <c r="F92" s="43" t="inlineStr">
        <is>
          <t>QUITADO</t>
        </is>
      </c>
      <c r="G92" s="22" t="n">
        <v>0</v>
      </c>
      <c r="H92" s="20" t="n">
        <v>13</v>
      </c>
      <c r="I92" s="20" t="n">
        <v>13</v>
      </c>
      <c r="J92" s="21" t="n">
        <v>10744.92</v>
      </c>
      <c r="K92" s="44" t="n">
        <v>0</v>
      </c>
      <c r="L92" s="22" t="n">
        <v>0</v>
      </c>
      <c r="M92" s="22" t="n">
        <v>0</v>
      </c>
      <c r="N92" s="22" t="n">
        <v>0</v>
      </c>
      <c r="O92" s="22" t="n">
        <v>0</v>
      </c>
      <c r="P92" s="22" t="n">
        <v>0</v>
      </c>
      <c r="Q92" s="21" t="n">
        <v>0</v>
      </c>
      <c r="R92" s="20" t="n">
        <v>0</v>
      </c>
      <c r="S92" s="21" t="n">
        <v>0</v>
      </c>
      <c r="T92" s="22" t="n">
        <v>10744.92</v>
      </c>
      <c r="U92" s="23" t="n">
        <v>1</v>
      </c>
      <c r="V92" s="23" t="n">
        <v>0</v>
      </c>
      <c r="W92" s="23" t="n">
        <v>0</v>
      </c>
      <c r="X92" s="40" t="n"/>
      <c r="Y92" s="18" t="n"/>
      <c r="Z92" s="18" t="inlineStr">
        <is>
          <t>NÃO</t>
        </is>
      </c>
    </row>
    <row r="93">
      <c r="A93" s="18" t="inlineStr">
        <is>
          <t>71/ALVLT</t>
        </is>
      </c>
      <c r="B93" s="18" t="inlineStr">
        <is>
          <t>SPE RESIDENCIAL OURILANDIA LTDA</t>
        </is>
      </c>
      <c r="C93" s="18" t="inlineStr">
        <is>
          <t>161</t>
        </is>
      </c>
      <c r="D93" s="18" t="inlineStr">
        <is>
          <t>MARTINHO LACERDA DE MELO</t>
        </is>
      </c>
      <c r="E93" s="25" t="inlineStr">
        <is>
          <t>QUADRA 34/LOTE 14</t>
        </is>
      </c>
      <c r="F93" s="43" t="inlineStr">
        <is>
          <t>QUITADO</t>
        </is>
      </c>
      <c r="G93" s="22" t="n">
        <v>0</v>
      </c>
      <c r="H93" s="20" t="n">
        <v>13</v>
      </c>
      <c r="I93" s="20" t="n">
        <v>13</v>
      </c>
      <c r="J93" s="21" t="n">
        <v>10744.94</v>
      </c>
      <c r="K93" s="44" t="n">
        <v>0</v>
      </c>
      <c r="L93" s="22" t="n">
        <v>0</v>
      </c>
      <c r="M93" s="22" t="n">
        <v>0</v>
      </c>
      <c r="N93" s="22" t="n">
        <v>0</v>
      </c>
      <c r="O93" s="22" t="n">
        <v>0</v>
      </c>
      <c r="P93" s="22" t="n">
        <v>0</v>
      </c>
      <c r="Q93" s="21" t="n">
        <v>0</v>
      </c>
      <c r="R93" s="20" t="n">
        <v>0</v>
      </c>
      <c r="S93" s="21" t="n">
        <v>0</v>
      </c>
      <c r="T93" s="22" t="n">
        <v>10744.94</v>
      </c>
      <c r="U93" s="23" t="n">
        <v>1</v>
      </c>
      <c r="V93" s="23" t="n">
        <v>0</v>
      </c>
      <c r="W93" s="23" t="n">
        <v>0</v>
      </c>
      <c r="X93" s="40" t="n"/>
      <c r="Y93" s="18" t="n"/>
      <c r="Z93" s="18" t="inlineStr">
        <is>
          <t>NÃO</t>
        </is>
      </c>
    </row>
    <row r="94">
      <c r="A94" s="18" t="inlineStr">
        <is>
          <t>71/ALVLT</t>
        </is>
      </c>
      <c r="B94" s="18" t="inlineStr">
        <is>
          <t>SPE RESIDENCIAL OURILANDIA LTDA</t>
        </is>
      </c>
      <c r="C94" s="18" t="inlineStr">
        <is>
          <t>162</t>
        </is>
      </c>
      <c r="D94" s="18" t="inlineStr">
        <is>
          <t>ELIAQUIM OLIVEIRA DO NASCIMENTO</t>
        </is>
      </c>
      <c r="E94" s="25" t="inlineStr">
        <is>
          <t>QUADRA 20/LOTE 06</t>
        </is>
      </c>
      <c r="F94" s="43" t="inlineStr">
        <is>
          <t>QUITADO</t>
        </is>
      </c>
      <c r="G94" s="22" t="n">
        <v>0</v>
      </c>
      <c r="H94" s="20" t="n">
        <v>36</v>
      </c>
      <c r="I94" s="20" t="n">
        <v>36</v>
      </c>
      <c r="J94" s="21" t="n">
        <v>18481.42</v>
      </c>
      <c r="K94" s="44" t="n">
        <v>0</v>
      </c>
      <c r="L94" s="22" t="n">
        <v>0</v>
      </c>
      <c r="M94" s="22" t="n">
        <v>0</v>
      </c>
      <c r="N94" s="22" t="n">
        <v>0</v>
      </c>
      <c r="O94" s="22" t="n">
        <v>0</v>
      </c>
      <c r="P94" s="22" t="n">
        <v>0</v>
      </c>
      <c r="Q94" s="21" t="n">
        <v>0</v>
      </c>
      <c r="R94" s="20" t="n">
        <v>0</v>
      </c>
      <c r="S94" s="21" t="n">
        <v>0</v>
      </c>
      <c r="T94" s="22" t="n">
        <v>18481.42</v>
      </c>
      <c r="U94" s="23" t="n">
        <v>1</v>
      </c>
      <c r="V94" s="23" t="n">
        <v>0</v>
      </c>
      <c r="W94" s="23" t="n">
        <v>0</v>
      </c>
      <c r="X94" s="40" t="n"/>
      <c r="Y94" s="18" t="n"/>
      <c r="Z94" s="18" t="inlineStr">
        <is>
          <t>NÃO</t>
        </is>
      </c>
    </row>
    <row r="95">
      <c r="A95" s="18" t="inlineStr">
        <is>
          <t>71/ALVLT</t>
        </is>
      </c>
      <c r="B95" s="18" t="inlineStr">
        <is>
          <t>SPE RESIDENCIAL OURILANDIA LTDA</t>
        </is>
      </c>
      <c r="C95" s="18" t="inlineStr">
        <is>
          <t>163</t>
        </is>
      </c>
      <c r="D95" s="18" t="inlineStr">
        <is>
          <t>ELIOJONSO MOREIRA DE SOUSA</t>
        </is>
      </c>
      <c r="E95" s="25" t="inlineStr">
        <is>
          <t>QUADRA 20/LOTE 07</t>
        </is>
      </c>
      <c r="F95" s="43" t="inlineStr">
        <is>
          <t>QUITADO</t>
        </is>
      </c>
      <c r="G95" s="22" t="n">
        <v>0</v>
      </c>
      <c r="H95" s="20" t="n">
        <v>36</v>
      </c>
      <c r="I95" s="20" t="n">
        <v>36</v>
      </c>
      <c r="J95" s="21" t="n">
        <v>17649.4</v>
      </c>
      <c r="K95" s="44" t="n">
        <v>0</v>
      </c>
      <c r="L95" s="22" t="n">
        <v>0</v>
      </c>
      <c r="M95" s="22" t="n">
        <v>0</v>
      </c>
      <c r="N95" s="22" t="n">
        <v>0</v>
      </c>
      <c r="O95" s="22" t="n">
        <v>0</v>
      </c>
      <c r="P95" s="22" t="n">
        <v>0</v>
      </c>
      <c r="Q95" s="21" t="n">
        <v>0</v>
      </c>
      <c r="R95" s="20" t="n">
        <v>0</v>
      </c>
      <c r="S95" s="21" t="n">
        <v>0</v>
      </c>
      <c r="T95" s="22" t="n">
        <v>17649.4</v>
      </c>
      <c r="U95" s="23" t="n">
        <v>1</v>
      </c>
      <c r="V95" s="23" t="n">
        <v>0</v>
      </c>
      <c r="W95" s="23" t="n">
        <v>0</v>
      </c>
      <c r="X95" s="40" t="n"/>
      <c r="Y95" s="18" t="n"/>
      <c r="Z95" s="18" t="inlineStr">
        <is>
          <t>NÃO</t>
        </is>
      </c>
    </row>
    <row r="96">
      <c r="A96" s="18" t="inlineStr">
        <is>
          <t>71/ALVLT</t>
        </is>
      </c>
      <c r="B96" s="18" t="inlineStr">
        <is>
          <t>SPE RESIDENCIAL OURILANDIA LTDA</t>
        </is>
      </c>
      <c r="C96" s="18" t="inlineStr">
        <is>
          <t>164</t>
        </is>
      </c>
      <c r="D96" s="18" t="inlineStr">
        <is>
          <t>SAMARA CRISTINA RIBEIRO COSTA</t>
        </is>
      </c>
      <c r="E96" s="25" t="inlineStr">
        <is>
          <t>QUADRA 22/LOTE 29</t>
        </is>
      </c>
      <c r="F96" s="43" t="inlineStr">
        <is>
          <t>QUITADO</t>
        </is>
      </c>
      <c r="G96" s="22" t="n">
        <v>10500</v>
      </c>
      <c r="H96" s="20" t="n">
        <v>1</v>
      </c>
      <c r="I96" s="20" t="n">
        <v>1</v>
      </c>
      <c r="J96" s="21" t="n">
        <v>10500</v>
      </c>
      <c r="K96" s="44" t="n">
        <v>0</v>
      </c>
      <c r="L96" s="22" t="n">
        <v>0</v>
      </c>
      <c r="M96" s="22" t="n">
        <v>0</v>
      </c>
      <c r="N96" s="22" t="n">
        <v>0</v>
      </c>
      <c r="O96" s="22" t="n">
        <v>0</v>
      </c>
      <c r="P96" s="22" t="n">
        <v>0</v>
      </c>
      <c r="Q96" s="21" t="n">
        <v>0</v>
      </c>
      <c r="R96" s="20" t="n">
        <v>0</v>
      </c>
      <c r="S96" s="21" t="n">
        <v>0</v>
      </c>
      <c r="T96" s="22" t="n">
        <v>10500</v>
      </c>
      <c r="U96" s="23" t="n">
        <v>1</v>
      </c>
      <c r="V96" s="23" t="n">
        <v>0</v>
      </c>
      <c r="W96" s="23" t="n">
        <v>0</v>
      </c>
      <c r="X96" s="40" t="n"/>
      <c r="Y96" s="18" t="n"/>
      <c r="Z96" s="18" t="inlineStr">
        <is>
          <t>NÃO</t>
        </is>
      </c>
    </row>
    <row r="97">
      <c r="A97" s="18" t="inlineStr">
        <is>
          <t>71/ALVLT</t>
        </is>
      </c>
      <c r="B97" s="18" t="inlineStr">
        <is>
          <t>SPE RESIDENCIAL OURILANDIA LTDA</t>
        </is>
      </c>
      <c r="C97" s="18" t="inlineStr">
        <is>
          <t>165</t>
        </is>
      </c>
      <c r="D97" s="18" t="inlineStr">
        <is>
          <t>TAYS CALVARIO DA SILVA</t>
        </is>
      </c>
      <c r="E97" s="25" t="inlineStr">
        <is>
          <t>QUADRA 34/LOTE 19</t>
        </is>
      </c>
      <c r="F97" s="43" t="inlineStr">
        <is>
          <t>QUITADO</t>
        </is>
      </c>
      <c r="G97" s="22" t="n">
        <v>12500</v>
      </c>
      <c r="H97" s="20" t="n">
        <v>1</v>
      </c>
      <c r="I97" s="20" t="n">
        <v>1</v>
      </c>
      <c r="J97" s="21" t="n">
        <v>12500</v>
      </c>
      <c r="K97" s="44" t="n">
        <v>0</v>
      </c>
      <c r="L97" s="22" t="n">
        <v>0</v>
      </c>
      <c r="M97" s="22" t="n">
        <v>0</v>
      </c>
      <c r="N97" s="22" t="n">
        <v>0</v>
      </c>
      <c r="O97" s="22" t="n">
        <v>0</v>
      </c>
      <c r="P97" s="22" t="n">
        <v>0</v>
      </c>
      <c r="Q97" s="21" t="n">
        <v>0</v>
      </c>
      <c r="R97" s="20" t="n">
        <v>0</v>
      </c>
      <c r="S97" s="21" t="n">
        <v>0</v>
      </c>
      <c r="T97" s="22" t="n">
        <v>12500</v>
      </c>
      <c r="U97" s="23" t="n">
        <v>1</v>
      </c>
      <c r="V97" s="23" t="n">
        <v>0</v>
      </c>
      <c r="W97" s="23" t="n">
        <v>0</v>
      </c>
      <c r="X97" s="40" t="n"/>
      <c r="Y97" s="18" t="n"/>
      <c r="Z97" s="18" t="inlineStr">
        <is>
          <t>NÃO</t>
        </is>
      </c>
    </row>
    <row r="98">
      <c r="A98" s="18" t="inlineStr">
        <is>
          <t>71/ALVLT</t>
        </is>
      </c>
      <c r="B98" s="18" t="inlineStr">
        <is>
          <t>SPE RESIDENCIAL OURILANDIA LTDA</t>
        </is>
      </c>
      <c r="C98" s="18" t="inlineStr">
        <is>
          <t>167</t>
        </is>
      </c>
      <c r="D98" s="18" t="inlineStr">
        <is>
          <t>MARIA DIVINA DA SILVA MACEDO</t>
        </is>
      </c>
      <c r="E98" s="25" t="inlineStr">
        <is>
          <t>QUADRA 25/LOTE 01</t>
        </is>
      </c>
      <c r="F98" s="43" t="inlineStr">
        <is>
          <t>QUITADO</t>
        </is>
      </c>
      <c r="G98" s="22" t="n">
        <v>0</v>
      </c>
      <c r="H98" s="20" t="n">
        <v>36</v>
      </c>
      <c r="I98" s="20" t="n">
        <v>36</v>
      </c>
      <c r="J98" s="21" t="n">
        <v>22372.86</v>
      </c>
      <c r="K98" s="44" t="n">
        <v>0</v>
      </c>
      <c r="L98" s="22" t="n">
        <v>0</v>
      </c>
      <c r="M98" s="22" t="n">
        <v>0</v>
      </c>
      <c r="N98" s="22" t="n">
        <v>0</v>
      </c>
      <c r="O98" s="22" t="n">
        <v>0</v>
      </c>
      <c r="P98" s="22" t="n">
        <v>0</v>
      </c>
      <c r="Q98" s="21" t="n">
        <v>0</v>
      </c>
      <c r="R98" s="20" t="n">
        <v>0</v>
      </c>
      <c r="S98" s="21" t="n">
        <v>0</v>
      </c>
      <c r="T98" s="22" t="n">
        <v>22372.86</v>
      </c>
      <c r="U98" s="23" t="n">
        <v>1</v>
      </c>
      <c r="V98" s="23" t="n">
        <v>0</v>
      </c>
      <c r="W98" s="23" t="n">
        <v>0</v>
      </c>
      <c r="X98" s="40" t="n"/>
      <c r="Y98" s="18" t="n"/>
      <c r="Z98" s="18" t="inlineStr">
        <is>
          <t>NÃO</t>
        </is>
      </c>
    </row>
    <row r="99">
      <c r="A99" s="18" t="inlineStr">
        <is>
          <t>71/ALVLT</t>
        </is>
      </c>
      <c r="B99" s="18" t="inlineStr">
        <is>
          <t>SPE RESIDENCIAL OURILANDIA LTDA</t>
        </is>
      </c>
      <c r="C99" s="18" t="inlineStr">
        <is>
          <t>17</t>
        </is>
      </c>
      <c r="D99" s="18" t="inlineStr">
        <is>
          <t>MARIO DONIZETE PEREIRA</t>
        </is>
      </c>
      <c r="E99" s="25" t="inlineStr">
        <is>
          <t>QUADRA 40/LOTE 17</t>
        </is>
      </c>
      <c r="F99" s="52" t="inlineStr">
        <is>
          <t>ADIMPLENTE</t>
        </is>
      </c>
      <c r="G99" s="22" t="n">
        <v>291.66</v>
      </c>
      <c r="H99" s="20" t="n">
        <v>120</v>
      </c>
      <c r="I99" s="20" t="n">
        <v>104</v>
      </c>
      <c r="J99" s="21" t="n">
        <v>51016.09</v>
      </c>
      <c r="K99" s="44" t="n">
        <v>0</v>
      </c>
      <c r="L99" s="22" t="n">
        <v>0</v>
      </c>
      <c r="M99" s="22" t="n">
        <v>0</v>
      </c>
      <c r="N99" s="22" t="n">
        <v>0</v>
      </c>
      <c r="O99" s="22" t="n">
        <v>0</v>
      </c>
      <c r="P99" s="22" t="n">
        <v>0</v>
      </c>
      <c r="Q99" s="21" t="n">
        <v>0</v>
      </c>
      <c r="R99" s="20" t="n">
        <v>16</v>
      </c>
      <c r="S99" s="21" t="n">
        <v>12641.35</v>
      </c>
      <c r="T99" s="22" t="n">
        <v>63657.44</v>
      </c>
      <c r="U99" s="23" t="n">
        <v>0.801416</v>
      </c>
      <c r="V99" s="23" t="n">
        <v>0</v>
      </c>
      <c r="W99" s="23" t="n">
        <v>0.198584</v>
      </c>
      <c r="X99" s="40" t="n">
        <v>15</v>
      </c>
      <c r="Y99" s="18" t="n"/>
      <c r="Z99" s="18" t="inlineStr">
        <is>
          <t>NÃO</t>
        </is>
      </c>
    </row>
    <row r="100">
      <c r="A100" s="18" t="inlineStr">
        <is>
          <t>71/ALVLT</t>
        </is>
      </c>
      <c r="B100" s="18" t="inlineStr">
        <is>
          <t>SPE RESIDENCIAL OURILANDIA LTDA</t>
        </is>
      </c>
      <c r="C100" s="18" t="inlineStr">
        <is>
          <t>170</t>
        </is>
      </c>
      <c r="D100" s="18" t="inlineStr">
        <is>
          <t>MARCOS BARROS DOS SANTOS</t>
        </is>
      </c>
      <c r="E100" s="25" t="inlineStr">
        <is>
          <t>QUADRA 33/LOTE 09</t>
        </is>
      </c>
      <c r="F100" s="43" t="inlineStr">
        <is>
          <t>QUITADO</t>
        </is>
      </c>
      <c r="G100" s="22" t="n">
        <v>10500</v>
      </c>
      <c r="H100" s="20" t="n">
        <v>1</v>
      </c>
      <c r="I100" s="20" t="n">
        <v>1</v>
      </c>
      <c r="J100" s="21" t="n">
        <v>10500</v>
      </c>
      <c r="K100" s="44" t="n">
        <v>0</v>
      </c>
      <c r="L100" s="22" t="n">
        <v>0</v>
      </c>
      <c r="M100" s="22" t="n">
        <v>0</v>
      </c>
      <c r="N100" s="22" t="n">
        <v>0</v>
      </c>
      <c r="O100" s="22" t="n">
        <v>0</v>
      </c>
      <c r="P100" s="22" t="n">
        <v>0</v>
      </c>
      <c r="Q100" s="21" t="n">
        <v>0</v>
      </c>
      <c r="R100" s="20" t="n">
        <v>0</v>
      </c>
      <c r="S100" s="21" t="n">
        <v>0</v>
      </c>
      <c r="T100" s="22" t="n">
        <v>10500</v>
      </c>
      <c r="U100" s="23" t="n">
        <v>1</v>
      </c>
      <c r="V100" s="23" t="n">
        <v>0</v>
      </c>
      <c r="W100" s="23" t="n">
        <v>0</v>
      </c>
      <c r="X100" s="40" t="n"/>
      <c r="Y100" s="18" t="n"/>
      <c r="Z100" s="18" t="inlineStr">
        <is>
          <t>NÃO</t>
        </is>
      </c>
    </row>
    <row r="101">
      <c r="A101" s="18" t="inlineStr">
        <is>
          <t>71/ALVLT</t>
        </is>
      </c>
      <c r="B101" s="18" t="inlineStr">
        <is>
          <t>SPE RESIDENCIAL OURILANDIA LTDA</t>
        </is>
      </c>
      <c r="C101" s="18" t="inlineStr">
        <is>
          <t>171</t>
        </is>
      </c>
      <c r="D101" s="18" t="inlineStr">
        <is>
          <t>MARIO FRANCO PEREIRA LIMA</t>
        </is>
      </c>
      <c r="E101" s="25" t="inlineStr">
        <is>
          <t>QUADRA 34/LOTE 12</t>
        </is>
      </c>
      <c r="F101" s="43" t="inlineStr">
        <is>
          <t>QUITADO</t>
        </is>
      </c>
      <c r="G101" s="22" t="n">
        <v>0</v>
      </c>
      <c r="H101" s="20" t="n">
        <v>37</v>
      </c>
      <c r="I101" s="20" t="n">
        <v>37</v>
      </c>
      <c r="J101" s="21" t="n">
        <v>16446.6</v>
      </c>
      <c r="K101" s="44" t="n">
        <v>0</v>
      </c>
      <c r="L101" s="22" t="n">
        <v>0</v>
      </c>
      <c r="M101" s="22" t="n">
        <v>0</v>
      </c>
      <c r="N101" s="22" t="n">
        <v>0</v>
      </c>
      <c r="O101" s="22" t="n">
        <v>0</v>
      </c>
      <c r="P101" s="22" t="n">
        <v>0</v>
      </c>
      <c r="Q101" s="21" t="n">
        <v>0</v>
      </c>
      <c r="R101" s="20" t="n">
        <v>0</v>
      </c>
      <c r="S101" s="21" t="n">
        <v>0</v>
      </c>
      <c r="T101" s="22" t="n">
        <v>16446.6</v>
      </c>
      <c r="U101" s="23" t="n">
        <v>1</v>
      </c>
      <c r="V101" s="23" t="n">
        <v>0</v>
      </c>
      <c r="W101" s="23" t="n">
        <v>0</v>
      </c>
      <c r="X101" s="40" t="n"/>
      <c r="Y101" s="18" t="n"/>
      <c r="Z101" s="18" t="inlineStr">
        <is>
          <t>NÃO</t>
        </is>
      </c>
    </row>
    <row r="102">
      <c r="A102" s="18" t="inlineStr">
        <is>
          <t>71/ALVLT</t>
        </is>
      </c>
      <c r="B102" s="18" t="inlineStr">
        <is>
          <t>SPE RESIDENCIAL OURILANDIA LTDA</t>
        </is>
      </c>
      <c r="C102" s="18" t="inlineStr">
        <is>
          <t>172</t>
        </is>
      </c>
      <c r="D102" s="18" t="inlineStr">
        <is>
          <t>JHUNIOR DE SOUSA ANDRADE</t>
        </is>
      </c>
      <c r="E102" s="25" t="inlineStr">
        <is>
          <t>QUADRA 21/LOTE 29</t>
        </is>
      </c>
      <c r="F102" s="43" t="inlineStr">
        <is>
          <t>QUITADO</t>
        </is>
      </c>
      <c r="G102" s="22" t="n">
        <v>0</v>
      </c>
      <c r="H102" s="20" t="n">
        <v>36</v>
      </c>
      <c r="I102" s="20" t="n">
        <v>36</v>
      </c>
      <c r="J102" s="21" t="n">
        <v>15371</v>
      </c>
      <c r="K102" s="44" t="n">
        <v>0</v>
      </c>
      <c r="L102" s="22" t="n">
        <v>0</v>
      </c>
      <c r="M102" s="22" t="n">
        <v>0</v>
      </c>
      <c r="N102" s="22" t="n">
        <v>0</v>
      </c>
      <c r="O102" s="22" t="n">
        <v>0</v>
      </c>
      <c r="P102" s="22" t="n">
        <v>0</v>
      </c>
      <c r="Q102" s="21" t="n">
        <v>0</v>
      </c>
      <c r="R102" s="20" t="n">
        <v>0</v>
      </c>
      <c r="S102" s="21" t="n">
        <v>0</v>
      </c>
      <c r="T102" s="22" t="n">
        <v>15371</v>
      </c>
      <c r="U102" s="23" t="n">
        <v>1</v>
      </c>
      <c r="V102" s="23" t="n">
        <v>0</v>
      </c>
      <c r="W102" s="23" t="n">
        <v>0</v>
      </c>
      <c r="X102" s="40" t="n"/>
      <c r="Y102" s="18" t="n"/>
      <c r="Z102" s="18" t="inlineStr">
        <is>
          <t>NÃO</t>
        </is>
      </c>
    </row>
    <row r="103">
      <c r="A103" s="18" t="inlineStr">
        <is>
          <t>71/ALVLT</t>
        </is>
      </c>
      <c r="B103" s="18" t="inlineStr">
        <is>
          <t>SPE RESIDENCIAL OURILANDIA LTDA</t>
        </is>
      </c>
      <c r="C103" s="18" t="inlineStr">
        <is>
          <t>173</t>
        </is>
      </c>
      <c r="D103" s="18" t="inlineStr">
        <is>
          <t>MARIA APARECIDA ERNESTINA DA SILVA</t>
        </is>
      </c>
      <c r="E103" s="25" t="inlineStr">
        <is>
          <t>QUADRA 21/LOTE 26</t>
        </is>
      </c>
      <c r="F103" s="43" t="inlineStr">
        <is>
          <t>QUITADO</t>
        </is>
      </c>
      <c r="G103" s="22" t="n">
        <v>10500</v>
      </c>
      <c r="H103" s="20" t="n">
        <v>1</v>
      </c>
      <c r="I103" s="20" t="n">
        <v>1</v>
      </c>
      <c r="J103" s="21" t="n">
        <v>10500</v>
      </c>
      <c r="K103" s="44" t="n">
        <v>0</v>
      </c>
      <c r="L103" s="22" t="n">
        <v>0</v>
      </c>
      <c r="M103" s="22" t="n">
        <v>0</v>
      </c>
      <c r="N103" s="22" t="n">
        <v>0</v>
      </c>
      <c r="O103" s="22" t="n">
        <v>0</v>
      </c>
      <c r="P103" s="22" t="n">
        <v>0</v>
      </c>
      <c r="Q103" s="21" t="n">
        <v>0</v>
      </c>
      <c r="R103" s="20" t="n">
        <v>0</v>
      </c>
      <c r="S103" s="21" t="n">
        <v>0</v>
      </c>
      <c r="T103" s="22" t="n">
        <v>10500</v>
      </c>
      <c r="U103" s="23" t="n">
        <v>1</v>
      </c>
      <c r="V103" s="23" t="n">
        <v>0</v>
      </c>
      <c r="W103" s="23" t="n">
        <v>0</v>
      </c>
      <c r="X103" s="40" t="n"/>
      <c r="Y103" s="18" t="n"/>
      <c r="Z103" s="18" t="inlineStr">
        <is>
          <t>NÃO</t>
        </is>
      </c>
    </row>
    <row r="104">
      <c r="A104" s="18" t="inlineStr">
        <is>
          <t>71/ALVLT</t>
        </is>
      </c>
      <c r="B104" s="18" t="inlineStr">
        <is>
          <t>SPE RESIDENCIAL OURILANDIA LTDA</t>
        </is>
      </c>
      <c r="C104" s="18" t="inlineStr">
        <is>
          <t>175</t>
        </is>
      </c>
      <c r="D104" s="18" t="inlineStr">
        <is>
          <t>GABRIELA CONCEI O CORREA</t>
        </is>
      </c>
      <c r="E104" s="25" t="inlineStr">
        <is>
          <t>QUADRA 34/LOTE 15</t>
        </is>
      </c>
      <c r="F104" s="43" t="inlineStr">
        <is>
          <t>QUITADO</t>
        </is>
      </c>
      <c r="G104" s="22" t="n">
        <v>0</v>
      </c>
      <c r="H104" s="20" t="n">
        <v>36</v>
      </c>
      <c r="I104" s="20" t="n">
        <v>7</v>
      </c>
      <c r="J104" s="21" t="n">
        <v>3189.75</v>
      </c>
      <c r="K104" s="44" t="n">
        <v>0</v>
      </c>
      <c r="L104" s="22" t="n">
        <v>0</v>
      </c>
      <c r="M104" s="22" t="n">
        <v>0</v>
      </c>
      <c r="N104" s="22" t="n">
        <v>0</v>
      </c>
      <c r="O104" s="22" t="n">
        <v>0</v>
      </c>
      <c r="P104" s="22" t="n">
        <v>0</v>
      </c>
      <c r="Q104" s="21" t="n">
        <v>0</v>
      </c>
      <c r="R104" s="20" t="n">
        <v>0</v>
      </c>
      <c r="S104" s="21" t="n">
        <v>0</v>
      </c>
      <c r="T104" s="22" t="n">
        <v>3189.75</v>
      </c>
      <c r="U104" s="23" t="n">
        <v>1</v>
      </c>
      <c r="V104" s="23" t="n">
        <v>0</v>
      </c>
      <c r="W104" s="23" t="n">
        <v>0</v>
      </c>
      <c r="X104" s="40" t="n"/>
      <c r="Y104" s="18" t="n"/>
      <c r="Z104" s="18" t="inlineStr">
        <is>
          <t>NÃO</t>
        </is>
      </c>
    </row>
    <row r="105">
      <c r="A105" s="18" t="inlineStr">
        <is>
          <t>71/ALVLT</t>
        </is>
      </c>
      <c r="B105" s="18" t="inlineStr">
        <is>
          <t>SPE RESIDENCIAL OURILANDIA LTDA</t>
        </is>
      </c>
      <c r="C105" s="18" t="inlineStr">
        <is>
          <t>176</t>
        </is>
      </c>
      <c r="D105" s="18" t="inlineStr">
        <is>
          <t>FERNANDO OLIVEIRA DE SOUSA</t>
        </is>
      </c>
      <c r="E105" s="25" t="inlineStr">
        <is>
          <t>QUADRA 34/LOTE 09</t>
        </is>
      </c>
      <c r="F105" s="43" t="inlineStr">
        <is>
          <t>QUITADO</t>
        </is>
      </c>
      <c r="G105" s="22" t="n">
        <v>0</v>
      </c>
      <c r="H105" s="20" t="n">
        <v>36</v>
      </c>
      <c r="I105" s="20" t="n">
        <v>36</v>
      </c>
      <c r="J105" s="21" t="n">
        <v>16905.96</v>
      </c>
      <c r="K105" s="44" t="n">
        <v>0</v>
      </c>
      <c r="L105" s="22" t="n">
        <v>0</v>
      </c>
      <c r="M105" s="22" t="n">
        <v>0</v>
      </c>
      <c r="N105" s="22" t="n">
        <v>0</v>
      </c>
      <c r="O105" s="22" t="n">
        <v>0</v>
      </c>
      <c r="P105" s="22" t="n">
        <v>0</v>
      </c>
      <c r="Q105" s="21" t="n">
        <v>0</v>
      </c>
      <c r="R105" s="20" t="n">
        <v>0</v>
      </c>
      <c r="S105" s="21" t="n">
        <v>0</v>
      </c>
      <c r="T105" s="22" t="n">
        <v>16905.96</v>
      </c>
      <c r="U105" s="23" t="n">
        <v>1</v>
      </c>
      <c r="V105" s="23" t="n">
        <v>0</v>
      </c>
      <c r="W105" s="23" t="n">
        <v>0</v>
      </c>
      <c r="X105" s="40" t="n"/>
      <c r="Y105" s="18" t="n"/>
      <c r="Z105" s="18" t="inlineStr">
        <is>
          <t>NÃO</t>
        </is>
      </c>
    </row>
    <row r="106">
      <c r="A106" s="18" t="inlineStr">
        <is>
          <t>71/ALVLT</t>
        </is>
      </c>
      <c r="B106" s="18" t="inlineStr">
        <is>
          <t>SPE RESIDENCIAL OURILANDIA LTDA</t>
        </is>
      </c>
      <c r="C106" s="18" t="inlineStr">
        <is>
          <t>177</t>
        </is>
      </c>
      <c r="D106" s="18" t="inlineStr">
        <is>
          <t>TAYS CALVARIO DA SILVA</t>
        </is>
      </c>
      <c r="E106" s="25" t="inlineStr">
        <is>
          <t>QUADRA 34/LOTE 23</t>
        </is>
      </c>
      <c r="F106" s="43" t="inlineStr">
        <is>
          <t>QUITADO</t>
        </is>
      </c>
      <c r="G106" s="22" t="n">
        <v>0</v>
      </c>
      <c r="H106" s="20" t="n">
        <v>12</v>
      </c>
      <c r="I106" s="20" t="n">
        <v>12</v>
      </c>
      <c r="J106" s="21" t="n">
        <v>13939.26</v>
      </c>
      <c r="K106" s="44" t="n">
        <v>0</v>
      </c>
      <c r="L106" s="22" t="n">
        <v>0</v>
      </c>
      <c r="M106" s="22" t="n">
        <v>0</v>
      </c>
      <c r="N106" s="22" t="n">
        <v>0</v>
      </c>
      <c r="O106" s="22" t="n">
        <v>0</v>
      </c>
      <c r="P106" s="22" t="n">
        <v>0</v>
      </c>
      <c r="Q106" s="21" t="n">
        <v>0</v>
      </c>
      <c r="R106" s="20" t="n">
        <v>0</v>
      </c>
      <c r="S106" s="21" t="n">
        <v>0</v>
      </c>
      <c r="T106" s="22" t="n">
        <v>13939.26</v>
      </c>
      <c r="U106" s="23" t="n">
        <v>1</v>
      </c>
      <c r="V106" s="23" t="n">
        <v>0</v>
      </c>
      <c r="W106" s="23" t="n">
        <v>0</v>
      </c>
      <c r="X106" s="40" t="n"/>
      <c r="Y106" s="18" t="n"/>
      <c r="Z106" s="18" t="inlineStr">
        <is>
          <t>NÃO</t>
        </is>
      </c>
    </row>
    <row r="107">
      <c r="A107" s="18" t="inlineStr">
        <is>
          <t>71/ALVLT</t>
        </is>
      </c>
      <c r="B107" s="18" t="inlineStr">
        <is>
          <t>SPE RESIDENCIAL OURILANDIA LTDA</t>
        </is>
      </c>
      <c r="C107" s="18" t="inlineStr">
        <is>
          <t>178</t>
        </is>
      </c>
      <c r="D107" s="18" t="inlineStr">
        <is>
          <t>TAYS CALVARIO DA SILVA</t>
        </is>
      </c>
      <c r="E107" s="25" t="inlineStr">
        <is>
          <t>QUADRA 34/LOTE 24</t>
        </is>
      </c>
      <c r="F107" s="43" t="inlineStr">
        <is>
          <t>QUITADO</t>
        </is>
      </c>
      <c r="G107" s="22" t="n">
        <v>0</v>
      </c>
      <c r="H107" s="20" t="n">
        <v>38</v>
      </c>
      <c r="I107" s="20" t="n">
        <v>38</v>
      </c>
      <c r="J107" s="21" t="n">
        <v>18132.14</v>
      </c>
      <c r="K107" s="44" t="n">
        <v>0</v>
      </c>
      <c r="L107" s="22" t="n">
        <v>0</v>
      </c>
      <c r="M107" s="22" t="n">
        <v>0</v>
      </c>
      <c r="N107" s="22" t="n">
        <v>0</v>
      </c>
      <c r="O107" s="22" t="n">
        <v>0</v>
      </c>
      <c r="P107" s="22" t="n">
        <v>0</v>
      </c>
      <c r="Q107" s="21" t="n">
        <v>0</v>
      </c>
      <c r="R107" s="20" t="n">
        <v>0</v>
      </c>
      <c r="S107" s="21" t="n">
        <v>0</v>
      </c>
      <c r="T107" s="22" t="n">
        <v>18132.14</v>
      </c>
      <c r="U107" s="23" t="n">
        <v>1</v>
      </c>
      <c r="V107" s="23" t="n">
        <v>0</v>
      </c>
      <c r="W107" s="23" t="n">
        <v>0</v>
      </c>
      <c r="X107" s="40" t="n"/>
      <c r="Y107" s="18" t="n"/>
      <c r="Z107" s="18" t="inlineStr">
        <is>
          <t>NÃO</t>
        </is>
      </c>
    </row>
    <row r="108">
      <c r="A108" s="18" t="inlineStr">
        <is>
          <t>71/ALVLT</t>
        </is>
      </c>
      <c r="B108" s="18" t="inlineStr">
        <is>
          <t>SPE RESIDENCIAL OURILANDIA LTDA</t>
        </is>
      </c>
      <c r="C108" s="18" t="inlineStr">
        <is>
          <t>179</t>
        </is>
      </c>
      <c r="D108" s="18" t="inlineStr">
        <is>
          <t>TAYS CALVARIO DA SILVA</t>
        </is>
      </c>
      <c r="E108" s="25" t="inlineStr">
        <is>
          <t>QUADRA 34/LOTE 25</t>
        </is>
      </c>
      <c r="F108" s="43" t="inlineStr">
        <is>
          <t>QUITADO</t>
        </is>
      </c>
      <c r="G108" s="22" t="n">
        <v>0</v>
      </c>
      <c r="H108" s="20" t="n">
        <v>38</v>
      </c>
      <c r="I108" s="20" t="n">
        <v>38</v>
      </c>
      <c r="J108" s="21" t="n">
        <v>17992.4</v>
      </c>
      <c r="K108" s="44" t="n">
        <v>0</v>
      </c>
      <c r="L108" s="22" t="n">
        <v>0</v>
      </c>
      <c r="M108" s="22" t="n">
        <v>0</v>
      </c>
      <c r="N108" s="22" t="n">
        <v>0</v>
      </c>
      <c r="O108" s="22" t="n">
        <v>0</v>
      </c>
      <c r="P108" s="22" t="n">
        <v>0</v>
      </c>
      <c r="Q108" s="21" t="n">
        <v>0</v>
      </c>
      <c r="R108" s="20" t="n">
        <v>0</v>
      </c>
      <c r="S108" s="21" t="n">
        <v>0</v>
      </c>
      <c r="T108" s="22" t="n">
        <v>17992.4</v>
      </c>
      <c r="U108" s="23" t="n">
        <v>1</v>
      </c>
      <c r="V108" s="23" t="n">
        <v>0</v>
      </c>
      <c r="W108" s="23" t="n">
        <v>0</v>
      </c>
      <c r="X108" s="40" t="n"/>
      <c r="Y108" s="18" t="n"/>
      <c r="Z108" s="18" t="inlineStr">
        <is>
          <t>NÃO</t>
        </is>
      </c>
    </row>
    <row r="109">
      <c r="A109" s="18" t="inlineStr">
        <is>
          <t>71/ALVLT</t>
        </is>
      </c>
      <c r="B109" s="18" t="inlineStr">
        <is>
          <t>SPE RESIDENCIAL OURILANDIA LTDA</t>
        </is>
      </c>
      <c r="C109" s="18" t="inlineStr">
        <is>
          <t>18</t>
        </is>
      </c>
      <c r="D109" s="18" t="inlineStr">
        <is>
          <t>MARIO DONIZETE PEREIRA</t>
        </is>
      </c>
      <c r="E109" s="25" t="inlineStr">
        <is>
          <t>QUADRA 40/LOTE 18</t>
        </is>
      </c>
      <c r="F109" s="43" t="inlineStr">
        <is>
          <t>QUITADO</t>
        </is>
      </c>
      <c r="G109" s="22" t="n">
        <v>0</v>
      </c>
      <c r="H109" s="20" t="n">
        <v>120</v>
      </c>
      <c r="I109" s="20" t="n">
        <v>5</v>
      </c>
      <c r="J109" s="21" t="n">
        <v>1462.94</v>
      </c>
      <c r="K109" s="44" t="n">
        <v>0</v>
      </c>
      <c r="L109" s="22" t="n">
        <v>0</v>
      </c>
      <c r="M109" s="22" t="n">
        <v>0</v>
      </c>
      <c r="N109" s="22" t="n">
        <v>0</v>
      </c>
      <c r="O109" s="22" t="n">
        <v>0</v>
      </c>
      <c r="P109" s="22" t="n">
        <v>0</v>
      </c>
      <c r="Q109" s="21" t="n">
        <v>0</v>
      </c>
      <c r="R109" s="20" t="n">
        <v>0</v>
      </c>
      <c r="S109" s="21" t="n">
        <v>0</v>
      </c>
      <c r="T109" s="22" t="n">
        <v>1462.94</v>
      </c>
      <c r="U109" s="23" t="n">
        <v>1</v>
      </c>
      <c r="V109" s="23" t="n">
        <v>0</v>
      </c>
      <c r="W109" s="23" t="n">
        <v>0</v>
      </c>
      <c r="X109" s="40" t="n"/>
      <c r="Y109" s="18" t="n"/>
      <c r="Z109" s="18" t="inlineStr">
        <is>
          <t>NÃO</t>
        </is>
      </c>
    </row>
    <row r="110">
      <c r="A110" s="45" t="inlineStr">
        <is>
          <t>71/ALVLT</t>
        </is>
      </c>
      <c r="B110" s="45" t="inlineStr">
        <is>
          <t>SPE RESIDENCIAL OURILANDIA LTDA</t>
        </is>
      </c>
      <c r="C110" s="45" t="inlineStr">
        <is>
          <t>180</t>
        </is>
      </c>
      <c r="D110" s="45" t="inlineStr">
        <is>
          <t>SICOOB - SISTEMA DE COOPERATIVA DE CREDITO DO BRASIL</t>
        </is>
      </c>
      <c r="E110" s="46" t="n"/>
      <c r="F110" s="47" t="inlineStr">
        <is>
          <t>QUITADO</t>
        </is>
      </c>
      <c r="G110" s="48" t="n">
        <v>130000</v>
      </c>
      <c r="H110" s="49" t="n">
        <v>1</v>
      </c>
      <c r="I110" s="49" t="n">
        <v>1</v>
      </c>
      <c r="J110" s="50" t="n">
        <v>130000</v>
      </c>
      <c r="K110" s="44" t="n">
        <v>0</v>
      </c>
      <c r="L110" s="48" t="n">
        <v>0</v>
      </c>
      <c r="M110" s="48" t="n">
        <v>0</v>
      </c>
      <c r="N110" s="48" t="n">
        <v>0</v>
      </c>
      <c r="O110" s="48" t="n">
        <v>0</v>
      </c>
      <c r="P110" s="48" t="n">
        <v>0</v>
      </c>
      <c r="Q110" s="50" t="n">
        <v>0</v>
      </c>
      <c r="R110" s="49" t="n">
        <v>0</v>
      </c>
      <c r="S110" s="50" t="n">
        <v>0</v>
      </c>
      <c r="T110" s="48" t="n">
        <v>130000</v>
      </c>
      <c r="U110" s="51" t="n">
        <v>1</v>
      </c>
      <c r="V110" s="51" t="n">
        <v>0</v>
      </c>
      <c r="W110" s="51" t="n">
        <v>0</v>
      </c>
      <c r="X110" s="40" t="n"/>
      <c r="Y110" s="45" t="n"/>
      <c r="Z110" s="45" t="inlineStr">
        <is>
          <t>SIM</t>
        </is>
      </c>
    </row>
    <row r="111">
      <c r="A111" s="18" t="inlineStr">
        <is>
          <t>71/ALVLT</t>
        </is>
      </c>
      <c r="B111" s="18" t="inlineStr">
        <is>
          <t>SPE RESIDENCIAL OURILANDIA LTDA</t>
        </is>
      </c>
      <c r="C111" s="18" t="inlineStr">
        <is>
          <t>181</t>
        </is>
      </c>
      <c r="D111" s="18" t="inlineStr">
        <is>
          <t>HOLDING PRIME RS</t>
        </is>
      </c>
      <c r="E111" s="25" t="n"/>
      <c r="F111" s="43" t="inlineStr">
        <is>
          <t>QUITADO</t>
        </is>
      </c>
      <c r="G111" s="22" t="n">
        <v>70000</v>
      </c>
      <c r="H111" s="20" t="n">
        <v>1</v>
      </c>
      <c r="I111" s="20" t="n">
        <v>1</v>
      </c>
      <c r="J111" s="21" t="n">
        <v>70000</v>
      </c>
      <c r="K111" s="44" t="n">
        <v>0</v>
      </c>
      <c r="L111" s="22" t="n">
        <v>0</v>
      </c>
      <c r="M111" s="22" t="n">
        <v>0</v>
      </c>
      <c r="N111" s="22" t="n">
        <v>0</v>
      </c>
      <c r="O111" s="22" t="n">
        <v>0</v>
      </c>
      <c r="P111" s="22" t="n">
        <v>0</v>
      </c>
      <c r="Q111" s="21" t="n">
        <v>0</v>
      </c>
      <c r="R111" s="20" t="n">
        <v>0</v>
      </c>
      <c r="S111" s="21" t="n">
        <v>0</v>
      </c>
      <c r="T111" s="22" t="n">
        <v>70000</v>
      </c>
      <c r="U111" s="23" t="n">
        <v>1</v>
      </c>
      <c r="V111" s="23" t="n">
        <v>0</v>
      </c>
      <c r="W111" s="23" t="n">
        <v>0</v>
      </c>
      <c r="X111" s="40" t="n"/>
      <c r="Y111" s="18" t="n"/>
      <c r="Z111" s="18" t="inlineStr">
        <is>
          <t>NÃO</t>
        </is>
      </c>
    </row>
    <row r="112">
      <c r="A112" s="45" t="inlineStr">
        <is>
          <t>71/ALVLT</t>
        </is>
      </c>
      <c r="B112" s="45" t="inlineStr">
        <is>
          <t>SPE RESIDENCIAL OURILANDIA LTDA</t>
        </is>
      </c>
      <c r="C112" s="45" t="inlineStr">
        <is>
          <t>182</t>
        </is>
      </c>
      <c r="D112" s="45" t="inlineStr">
        <is>
          <t>SICOOB - SISTEMA DE COOPERATIVA DE CREDITO DO BRASIL</t>
        </is>
      </c>
      <c r="E112" s="46" t="n"/>
      <c r="F112" s="47" t="inlineStr">
        <is>
          <t>QUITADO</t>
        </is>
      </c>
      <c r="G112" s="48" t="n">
        <v>70000</v>
      </c>
      <c r="H112" s="49" t="n">
        <v>1</v>
      </c>
      <c r="I112" s="49" t="n">
        <v>1</v>
      </c>
      <c r="J112" s="50" t="n">
        <v>70000</v>
      </c>
      <c r="K112" s="44" t="n">
        <v>0</v>
      </c>
      <c r="L112" s="48" t="n">
        <v>0</v>
      </c>
      <c r="M112" s="48" t="n">
        <v>0</v>
      </c>
      <c r="N112" s="48" t="n">
        <v>0</v>
      </c>
      <c r="O112" s="48" t="n">
        <v>0</v>
      </c>
      <c r="P112" s="48" t="n">
        <v>0</v>
      </c>
      <c r="Q112" s="50" t="n">
        <v>0</v>
      </c>
      <c r="R112" s="49" t="n">
        <v>0</v>
      </c>
      <c r="S112" s="50" t="n">
        <v>0</v>
      </c>
      <c r="T112" s="48" t="n">
        <v>70000</v>
      </c>
      <c r="U112" s="51" t="n">
        <v>1</v>
      </c>
      <c r="V112" s="51" t="n">
        <v>0</v>
      </c>
      <c r="W112" s="51" t="n">
        <v>0</v>
      </c>
      <c r="X112" s="40" t="n"/>
      <c r="Y112" s="45" t="n"/>
      <c r="Z112" s="45" t="inlineStr">
        <is>
          <t>SIM</t>
        </is>
      </c>
    </row>
    <row r="113">
      <c r="A113" s="18" t="inlineStr">
        <is>
          <t>71/ALVLT</t>
        </is>
      </c>
      <c r="B113" s="18" t="inlineStr">
        <is>
          <t>SPE RESIDENCIAL OURILANDIA LTDA</t>
        </is>
      </c>
      <c r="C113" s="18" t="inlineStr">
        <is>
          <t>183</t>
        </is>
      </c>
      <c r="D113" s="18" t="inlineStr">
        <is>
          <t>DAMACIO MELO DA SILVA RAMOS</t>
        </is>
      </c>
      <c r="E113" s="25" t="inlineStr">
        <is>
          <t>QUADRA 23/LOTE 01</t>
        </is>
      </c>
      <c r="F113" s="52" t="inlineStr">
        <is>
          <t>ADIMPLENTE</t>
        </is>
      </c>
      <c r="G113" s="22" t="n">
        <v>291.66</v>
      </c>
      <c r="H113" s="20" t="n">
        <v>120</v>
      </c>
      <c r="I113" s="20" t="n">
        <v>42</v>
      </c>
      <c r="J113" s="21" t="n">
        <v>26483.57</v>
      </c>
      <c r="K113" s="44" t="n">
        <v>0</v>
      </c>
      <c r="L113" s="22" t="n">
        <v>0</v>
      </c>
      <c r="M113" s="22" t="n">
        <v>0</v>
      </c>
      <c r="N113" s="22" t="n">
        <v>0</v>
      </c>
      <c r="O113" s="22" t="n">
        <v>0</v>
      </c>
      <c r="P113" s="22" t="n">
        <v>0</v>
      </c>
      <c r="Q113" s="21" t="n">
        <v>0</v>
      </c>
      <c r="R113" s="20" t="n">
        <v>16</v>
      </c>
      <c r="S113" s="21" t="n">
        <v>12199.21</v>
      </c>
      <c r="T113" s="22" t="n">
        <v>38682.78</v>
      </c>
      <c r="U113" s="23" t="n">
        <v>0.684635</v>
      </c>
      <c r="V113" s="23" t="n">
        <v>0</v>
      </c>
      <c r="W113" s="23" t="n">
        <v>0.315365</v>
      </c>
      <c r="X113" s="40" t="n">
        <v>5</v>
      </c>
      <c r="Y113" s="18" t="n"/>
      <c r="Z113" s="18" t="inlineStr">
        <is>
          <t>NÃO</t>
        </is>
      </c>
    </row>
    <row r="114">
      <c r="A114" s="18" t="inlineStr">
        <is>
          <t>71/ALVLT</t>
        </is>
      </c>
      <c r="B114" s="18" t="inlineStr">
        <is>
          <t>SPE RESIDENCIAL OURILANDIA LTDA</t>
        </is>
      </c>
      <c r="C114" s="18" t="inlineStr">
        <is>
          <t>184</t>
        </is>
      </c>
      <c r="D114" s="18" t="inlineStr">
        <is>
          <t>HWASKAR FAGUNDES</t>
        </is>
      </c>
      <c r="E114" s="25" t="n"/>
      <c r="F114" s="43" t="inlineStr">
        <is>
          <t>QUITADO</t>
        </is>
      </c>
      <c r="G114" s="22" t="n">
        <v>100000</v>
      </c>
      <c r="H114" s="20" t="n">
        <v>1</v>
      </c>
      <c r="I114" s="20" t="n">
        <v>1</v>
      </c>
      <c r="J114" s="21" t="n">
        <v>100000</v>
      </c>
      <c r="K114" s="44" t="n">
        <v>0</v>
      </c>
      <c r="L114" s="22" t="n">
        <v>0</v>
      </c>
      <c r="M114" s="22" t="n">
        <v>0</v>
      </c>
      <c r="N114" s="22" t="n">
        <v>0</v>
      </c>
      <c r="O114" s="22" t="n">
        <v>0</v>
      </c>
      <c r="P114" s="22" t="n">
        <v>0</v>
      </c>
      <c r="Q114" s="21" t="n">
        <v>0</v>
      </c>
      <c r="R114" s="20" t="n">
        <v>0</v>
      </c>
      <c r="S114" s="21" t="n">
        <v>0</v>
      </c>
      <c r="T114" s="22" t="n">
        <v>100000</v>
      </c>
      <c r="U114" s="23" t="n">
        <v>1</v>
      </c>
      <c r="V114" s="23" t="n">
        <v>0</v>
      </c>
      <c r="W114" s="23" t="n">
        <v>0</v>
      </c>
      <c r="X114" s="40" t="n"/>
      <c r="Y114" s="18" t="n"/>
      <c r="Z114" s="18" t="inlineStr">
        <is>
          <t>NÃO</t>
        </is>
      </c>
    </row>
    <row r="115">
      <c r="A115" s="18" t="inlineStr">
        <is>
          <t>71/ALVLT</t>
        </is>
      </c>
      <c r="B115" s="18" t="inlineStr">
        <is>
          <t>SPE RESIDENCIAL OURILANDIA LTDA</t>
        </is>
      </c>
      <c r="C115" s="18" t="inlineStr">
        <is>
          <t>185</t>
        </is>
      </c>
      <c r="D115" s="18" t="inlineStr">
        <is>
          <t>TAYS CALVARIO DA SILVA</t>
        </is>
      </c>
      <c r="E115" s="25" t="inlineStr">
        <is>
          <t>QUADRA 34/LOTE 22</t>
        </is>
      </c>
      <c r="F115" s="43" t="inlineStr">
        <is>
          <t>QUITADO</t>
        </is>
      </c>
      <c r="G115" s="22" t="n">
        <v>0</v>
      </c>
      <c r="H115" s="20" t="n">
        <v>38</v>
      </c>
      <c r="I115" s="20" t="n">
        <v>38</v>
      </c>
      <c r="J115" s="21" t="n">
        <v>18218.85</v>
      </c>
      <c r="K115" s="44" t="n">
        <v>0</v>
      </c>
      <c r="L115" s="22" t="n">
        <v>0</v>
      </c>
      <c r="M115" s="22" t="n">
        <v>0</v>
      </c>
      <c r="N115" s="22" t="n">
        <v>0</v>
      </c>
      <c r="O115" s="22" t="n">
        <v>0</v>
      </c>
      <c r="P115" s="22" t="n">
        <v>0</v>
      </c>
      <c r="Q115" s="21" t="n">
        <v>0</v>
      </c>
      <c r="R115" s="20" t="n">
        <v>0</v>
      </c>
      <c r="S115" s="21" t="n">
        <v>0</v>
      </c>
      <c r="T115" s="22" t="n">
        <v>18218.85</v>
      </c>
      <c r="U115" s="23" t="n">
        <v>1</v>
      </c>
      <c r="V115" s="23" t="n">
        <v>0</v>
      </c>
      <c r="W115" s="23" t="n">
        <v>0</v>
      </c>
      <c r="X115" s="40" t="n"/>
      <c r="Y115" s="18" t="n"/>
      <c r="Z115" s="18" t="inlineStr">
        <is>
          <t>NÃO</t>
        </is>
      </c>
    </row>
    <row r="116">
      <c r="A116" s="45" t="inlineStr">
        <is>
          <t>71/ALVLT</t>
        </is>
      </c>
      <c r="B116" s="45" t="inlineStr">
        <is>
          <t>SPE RESIDENCIAL OURILANDIA LTDA</t>
        </is>
      </c>
      <c r="C116" s="45" t="inlineStr">
        <is>
          <t>186</t>
        </is>
      </c>
      <c r="D116" s="45" t="inlineStr">
        <is>
          <t>SICOOB - SISTEMA DE COOPERATIVA DE CREDITO DO BRASIL</t>
        </is>
      </c>
      <c r="E116" s="46" t="n"/>
      <c r="F116" s="47" t="inlineStr">
        <is>
          <t>QUITADO</t>
        </is>
      </c>
      <c r="G116" s="48" t="n">
        <v>130000</v>
      </c>
      <c r="H116" s="49" t="n">
        <v>1</v>
      </c>
      <c r="I116" s="49" t="n">
        <v>1</v>
      </c>
      <c r="J116" s="50" t="n">
        <v>130000</v>
      </c>
      <c r="K116" s="44" t="n">
        <v>0</v>
      </c>
      <c r="L116" s="48" t="n">
        <v>0</v>
      </c>
      <c r="M116" s="48" t="n">
        <v>0</v>
      </c>
      <c r="N116" s="48" t="n">
        <v>0</v>
      </c>
      <c r="O116" s="48" t="n">
        <v>0</v>
      </c>
      <c r="P116" s="48" t="n">
        <v>0</v>
      </c>
      <c r="Q116" s="50" t="n">
        <v>0</v>
      </c>
      <c r="R116" s="49" t="n">
        <v>0</v>
      </c>
      <c r="S116" s="50" t="n">
        <v>0</v>
      </c>
      <c r="T116" s="48" t="n">
        <v>130000</v>
      </c>
      <c r="U116" s="51" t="n">
        <v>1</v>
      </c>
      <c r="V116" s="51" t="n">
        <v>0</v>
      </c>
      <c r="W116" s="51" t="n">
        <v>0</v>
      </c>
      <c r="X116" s="40" t="n"/>
      <c r="Y116" s="45" t="n"/>
      <c r="Z116" s="45" t="inlineStr">
        <is>
          <t>SIM</t>
        </is>
      </c>
    </row>
    <row r="117">
      <c r="A117" s="18" t="inlineStr">
        <is>
          <t>71/ALVLT</t>
        </is>
      </c>
      <c r="B117" s="18" t="inlineStr">
        <is>
          <t>SPE RESIDENCIAL OURILANDIA LTDA</t>
        </is>
      </c>
      <c r="C117" s="18" t="inlineStr">
        <is>
          <t>187</t>
        </is>
      </c>
      <c r="D117" s="18" t="inlineStr">
        <is>
          <t>SPE AMAZON TOWERS II</t>
        </is>
      </c>
      <c r="E117" s="25" t="n"/>
      <c r="F117" s="43" t="inlineStr">
        <is>
          <t>QUITADO</t>
        </is>
      </c>
      <c r="G117" s="22" t="n">
        <v>100000</v>
      </c>
      <c r="H117" s="20" t="n">
        <v>1</v>
      </c>
      <c r="I117" s="20" t="n">
        <v>1</v>
      </c>
      <c r="J117" s="21" t="n">
        <v>100000</v>
      </c>
      <c r="K117" s="44" t="n">
        <v>0</v>
      </c>
      <c r="L117" s="22" t="n">
        <v>0</v>
      </c>
      <c r="M117" s="22" t="n">
        <v>0</v>
      </c>
      <c r="N117" s="22" t="n">
        <v>0</v>
      </c>
      <c r="O117" s="22" t="n">
        <v>0</v>
      </c>
      <c r="P117" s="22" t="n">
        <v>0</v>
      </c>
      <c r="Q117" s="21" t="n">
        <v>0</v>
      </c>
      <c r="R117" s="20" t="n">
        <v>0</v>
      </c>
      <c r="S117" s="21" t="n">
        <v>0</v>
      </c>
      <c r="T117" s="22" t="n">
        <v>100000</v>
      </c>
      <c r="U117" s="23" t="n">
        <v>1</v>
      </c>
      <c r="V117" s="23" t="n">
        <v>0</v>
      </c>
      <c r="W117" s="23" t="n">
        <v>0</v>
      </c>
      <c r="X117" s="40" t="n"/>
      <c r="Y117" s="18" t="n"/>
      <c r="Z117" s="18" t="inlineStr">
        <is>
          <t>NÃO</t>
        </is>
      </c>
    </row>
    <row r="118">
      <c r="A118" s="18" t="inlineStr">
        <is>
          <t>71/ALVLT</t>
        </is>
      </c>
      <c r="B118" s="18" t="inlineStr">
        <is>
          <t>SPE RESIDENCIAL OURILANDIA LTDA</t>
        </is>
      </c>
      <c r="C118" s="18" t="inlineStr">
        <is>
          <t>189</t>
        </is>
      </c>
      <c r="D118" s="18" t="inlineStr">
        <is>
          <t>HWASKAR FAGUNDES</t>
        </is>
      </c>
      <c r="E118" s="25" t="n"/>
      <c r="F118" s="43" t="inlineStr">
        <is>
          <t>QUITADO</t>
        </is>
      </c>
      <c r="G118" s="22" t="n">
        <v>100000</v>
      </c>
      <c r="H118" s="20" t="n">
        <v>1</v>
      </c>
      <c r="I118" s="20" t="n">
        <v>1</v>
      </c>
      <c r="J118" s="21" t="n">
        <v>100000</v>
      </c>
      <c r="K118" s="44" t="n">
        <v>0</v>
      </c>
      <c r="L118" s="22" t="n">
        <v>0</v>
      </c>
      <c r="M118" s="22" t="n">
        <v>0</v>
      </c>
      <c r="N118" s="22" t="n">
        <v>0</v>
      </c>
      <c r="O118" s="22" t="n">
        <v>0</v>
      </c>
      <c r="P118" s="22" t="n">
        <v>0</v>
      </c>
      <c r="Q118" s="21" t="n">
        <v>0</v>
      </c>
      <c r="R118" s="20" t="n">
        <v>0</v>
      </c>
      <c r="S118" s="21" t="n">
        <v>0</v>
      </c>
      <c r="T118" s="22" t="n">
        <v>100000</v>
      </c>
      <c r="U118" s="23" t="n">
        <v>1</v>
      </c>
      <c r="V118" s="23" t="n">
        <v>0</v>
      </c>
      <c r="W118" s="23" t="n">
        <v>0</v>
      </c>
      <c r="X118" s="40" t="n"/>
      <c r="Y118" s="18" t="n"/>
      <c r="Z118" s="18" t="inlineStr">
        <is>
          <t>NÃO</t>
        </is>
      </c>
    </row>
    <row r="119">
      <c r="A119" s="18" t="inlineStr">
        <is>
          <t>71/ALVLT</t>
        </is>
      </c>
      <c r="B119" s="18" t="inlineStr">
        <is>
          <t>SPE RESIDENCIAL OURILANDIA LTDA</t>
        </is>
      </c>
      <c r="C119" s="18" t="inlineStr">
        <is>
          <t>19</t>
        </is>
      </c>
      <c r="D119" s="18" t="inlineStr">
        <is>
          <t>MARIO DONIZETE PEREIRA</t>
        </is>
      </c>
      <c r="E119" s="25" t="inlineStr">
        <is>
          <t>QUADRA 20/LOTE 01</t>
        </is>
      </c>
      <c r="F119" s="43" t="inlineStr">
        <is>
          <t>QUITADO</t>
        </is>
      </c>
      <c r="G119" s="22" t="n">
        <v>0</v>
      </c>
      <c r="H119" s="20" t="n">
        <v>120</v>
      </c>
      <c r="I119" s="20" t="n">
        <v>9</v>
      </c>
      <c r="J119" s="21" t="n">
        <v>3000.88</v>
      </c>
      <c r="K119" s="44" t="n">
        <v>0</v>
      </c>
      <c r="L119" s="22" t="n">
        <v>0</v>
      </c>
      <c r="M119" s="22" t="n">
        <v>0</v>
      </c>
      <c r="N119" s="22" t="n">
        <v>0</v>
      </c>
      <c r="O119" s="22" t="n">
        <v>0</v>
      </c>
      <c r="P119" s="22" t="n">
        <v>0</v>
      </c>
      <c r="Q119" s="21" t="n">
        <v>0</v>
      </c>
      <c r="R119" s="20" t="n">
        <v>0</v>
      </c>
      <c r="S119" s="21" t="n">
        <v>0</v>
      </c>
      <c r="T119" s="22" t="n">
        <v>3000.88</v>
      </c>
      <c r="U119" s="23" t="n">
        <v>1</v>
      </c>
      <c r="V119" s="23" t="n">
        <v>0</v>
      </c>
      <c r="W119" s="23" t="n">
        <v>0</v>
      </c>
      <c r="X119" s="40" t="n"/>
      <c r="Y119" s="18" t="n"/>
      <c r="Z119" s="18" t="inlineStr">
        <is>
          <t>NÃO</t>
        </is>
      </c>
    </row>
    <row r="120">
      <c r="A120" s="18" t="inlineStr">
        <is>
          <t>71/ALVLT</t>
        </is>
      </c>
      <c r="B120" s="18" t="inlineStr">
        <is>
          <t>SPE RESIDENCIAL OURILANDIA LTDA</t>
        </is>
      </c>
      <c r="C120" s="18" t="inlineStr">
        <is>
          <t>190</t>
        </is>
      </c>
      <c r="D120" s="18" t="inlineStr">
        <is>
          <t>SPE AMAZON TOWERS II</t>
        </is>
      </c>
      <c r="E120" s="25" t="n"/>
      <c r="F120" s="43" t="inlineStr">
        <is>
          <t>QUITADO</t>
        </is>
      </c>
      <c r="G120" s="22" t="n">
        <v>100000</v>
      </c>
      <c r="H120" s="20" t="n">
        <v>1</v>
      </c>
      <c r="I120" s="20" t="n">
        <v>1</v>
      </c>
      <c r="J120" s="21" t="n">
        <v>100000</v>
      </c>
      <c r="K120" s="44" t="n">
        <v>0</v>
      </c>
      <c r="L120" s="22" t="n">
        <v>0</v>
      </c>
      <c r="M120" s="22" t="n">
        <v>0</v>
      </c>
      <c r="N120" s="22" t="n">
        <v>0</v>
      </c>
      <c r="O120" s="22" t="n">
        <v>0</v>
      </c>
      <c r="P120" s="22" t="n">
        <v>0</v>
      </c>
      <c r="Q120" s="21" t="n">
        <v>0</v>
      </c>
      <c r="R120" s="20" t="n">
        <v>0</v>
      </c>
      <c r="S120" s="21" t="n">
        <v>0</v>
      </c>
      <c r="T120" s="22" t="n">
        <v>100000</v>
      </c>
      <c r="U120" s="23" t="n">
        <v>1</v>
      </c>
      <c r="V120" s="23" t="n">
        <v>0</v>
      </c>
      <c r="W120" s="23" t="n">
        <v>0</v>
      </c>
      <c r="X120" s="40" t="n"/>
      <c r="Y120" s="18" t="n"/>
      <c r="Z120" s="18" t="inlineStr">
        <is>
          <t>NÃO</t>
        </is>
      </c>
    </row>
    <row r="121">
      <c r="A121" s="18" t="inlineStr">
        <is>
          <t>71/ALVLT</t>
        </is>
      </c>
      <c r="B121" s="18" t="inlineStr">
        <is>
          <t>SPE RESIDENCIAL OURILANDIA LTDA</t>
        </is>
      </c>
      <c r="C121" s="18" t="inlineStr">
        <is>
          <t>191</t>
        </is>
      </c>
      <c r="D121" s="18" t="inlineStr">
        <is>
          <t>HWASKAR FAGUNDES</t>
        </is>
      </c>
      <c r="E121" s="25" t="n"/>
      <c r="F121" s="43" t="inlineStr">
        <is>
          <t>QUITADO</t>
        </is>
      </c>
      <c r="G121" s="22" t="n">
        <v>100000</v>
      </c>
      <c r="H121" s="20" t="n">
        <v>1</v>
      </c>
      <c r="I121" s="20" t="n">
        <v>1</v>
      </c>
      <c r="J121" s="21" t="n">
        <v>100000</v>
      </c>
      <c r="K121" s="44" t="n">
        <v>0</v>
      </c>
      <c r="L121" s="22" t="n">
        <v>0</v>
      </c>
      <c r="M121" s="22" t="n">
        <v>0</v>
      </c>
      <c r="N121" s="22" t="n">
        <v>0</v>
      </c>
      <c r="O121" s="22" t="n">
        <v>0</v>
      </c>
      <c r="P121" s="22" t="n">
        <v>0</v>
      </c>
      <c r="Q121" s="21" t="n">
        <v>0</v>
      </c>
      <c r="R121" s="20" t="n">
        <v>0</v>
      </c>
      <c r="S121" s="21" t="n">
        <v>0</v>
      </c>
      <c r="T121" s="22" t="n">
        <v>100000</v>
      </c>
      <c r="U121" s="23" t="n">
        <v>1</v>
      </c>
      <c r="V121" s="23" t="n">
        <v>0</v>
      </c>
      <c r="W121" s="23" t="n">
        <v>0</v>
      </c>
      <c r="X121" s="40" t="n"/>
      <c r="Y121" s="18" t="n"/>
      <c r="Z121" s="18" t="inlineStr">
        <is>
          <t>NÃO</t>
        </is>
      </c>
    </row>
    <row r="122">
      <c r="A122" s="18" t="inlineStr">
        <is>
          <t>71/ALVLT</t>
        </is>
      </c>
      <c r="B122" s="18" t="inlineStr">
        <is>
          <t>SPE RESIDENCIAL OURILANDIA LTDA</t>
        </is>
      </c>
      <c r="C122" s="18" t="inlineStr">
        <is>
          <t>192</t>
        </is>
      </c>
      <c r="D122" s="18" t="inlineStr">
        <is>
          <t>HWASKAR FAGUNDES</t>
        </is>
      </c>
      <c r="E122" s="25" t="n"/>
      <c r="F122" s="43" t="inlineStr">
        <is>
          <t>QUITADO</t>
        </is>
      </c>
      <c r="G122" s="22" t="n">
        <v>100000</v>
      </c>
      <c r="H122" s="20" t="n">
        <v>1</v>
      </c>
      <c r="I122" s="20" t="n">
        <v>1</v>
      </c>
      <c r="J122" s="21" t="n">
        <v>100000</v>
      </c>
      <c r="K122" s="44" t="n">
        <v>0</v>
      </c>
      <c r="L122" s="22" t="n">
        <v>0</v>
      </c>
      <c r="M122" s="22" t="n">
        <v>0</v>
      </c>
      <c r="N122" s="22" t="n">
        <v>0</v>
      </c>
      <c r="O122" s="22" t="n">
        <v>0</v>
      </c>
      <c r="P122" s="22" t="n">
        <v>0</v>
      </c>
      <c r="Q122" s="21" t="n">
        <v>0</v>
      </c>
      <c r="R122" s="20" t="n">
        <v>0</v>
      </c>
      <c r="S122" s="21" t="n">
        <v>0</v>
      </c>
      <c r="T122" s="22" t="n">
        <v>100000</v>
      </c>
      <c r="U122" s="23" t="n">
        <v>1</v>
      </c>
      <c r="V122" s="23" t="n">
        <v>0</v>
      </c>
      <c r="W122" s="23" t="n">
        <v>0</v>
      </c>
      <c r="X122" s="40" t="n"/>
      <c r="Y122" s="18" t="n"/>
      <c r="Z122" s="18" t="inlineStr">
        <is>
          <t>NÃO</t>
        </is>
      </c>
    </row>
    <row r="123">
      <c r="A123" s="45" t="inlineStr">
        <is>
          <t>71/ALVLT</t>
        </is>
      </c>
      <c r="B123" s="45" t="inlineStr">
        <is>
          <t>SPE RESIDENCIAL OURILANDIA LTDA</t>
        </is>
      </c>
      <c r="C123" s="45" t="inlineStr">
        <is>
          <t>193</t>
        </is>
      </c>
      <c r="D123" s="45" t="inlineStr">
        <is>
          <t>SICOOB - SISTEMA DE COOPERATIVA DE CREDITO DO BRASIL</t>
        </is>
      </c>
      <c r="E123" s="46" t="n"/>
      <c r="F123" s="47" t="inlineStr">
        <is>
          <t>QUITADO</t>
        </is>
      </c>
      <c r="G123" s="48" t="n">
        <v>70000</v>
      </c>
      <c r="H123" s="49" t="n">
        <v>1</v>
      </c>
      <c r="I123" s="49" t="n">
        <v>1</v>
      </c>
      <c r="J123" s="50" t="n">
        <v>70000</v>
      </c>
      <c r="K123" s="44" t="n">
        <v>0</v>
      </c>
      <c r="L123" s="48" t="n">
        <v>0</v>
      </c>
      <c r="M123" s="48" t="n">
        <v>0</v>
      </c>
      <c r="N123" s="48" t="n">
        <v>0</v>
      </c>
      <c r="O123" s="48" t="n">
        <v>0</v>
      </c>
      <c r="P123" s="48" t="n">
        <v>0</v>
      </c>
      <c r="Q123" s="50" t="n">
        <v>0</v>
      </c>
      <c r="R123" s="49" t="n">
        <v>0</v>
      </c>
      <c r="S123" s="50" t="n">
        <v>0</v>
      </c>
      <c r="T123" s="48" t="n">
        <v>70000</v>
      </c>
      <c r="U123" s="51" t="n">
        <v>1</v>
      </c>
      <c r="V123" s="51" t="n">
        <v>0</v>
      </c>
      <c r="W123" s="51" t="n">
        <v>0</v>
      </c>
      <c r="X123" s="40" t="n"/>
      <c r="Y123" s="45" t="n"/>
      <c r="Z123" s="45" t="inlineStr">
        <is>
          <t>SIM</t>
        </is>
      </c>
    </row>
    <row r="124">
      <c r="A124" s="18" t="inlineStr">
        <is>
          <t>71/ALVLT</t>
        </is>
      </c>
      <c r="B124" s="18" t="inlineStr">
        <is>
          <t>SPE RESIDENCIAL OURILANDIA LTDA</t>
        </is>
      </c>
      <c r="C124" s="18" t="inlineStr">
        <is>
          <t>194</t>
        </is>
      </c>
      <c r="D124" s="18" t="inlineStr">
        <is>
          <t>HWASKAR FAGUNDES</t>
        </is>
      </c>
      <c r="E124" s="25" t="n"/>
      <c r="F124" s="43" t="inlineStr">
        <is>
          <t>QUITADO</t>
        </is>
      </c>
      <c r="G124" s="22" t="n">
        <v>100000</v>
      </c>
      <c r="H124" s="20" t="n">
        <v>1</v>
      </c>
      <c r="I124" s="20" t="n">
        <v>1</v>
      </c>
      <c r="J124" s="21" t="n">
        <v>100000</v>
      </c>
      <c r="K124" s="44" t="n">
        <v>0</v>
      </c>
      <c r="L124" s="22" t="n">
        <v>0</v>
      </c>
      <c r="M124" s="22" t="n">
        <v>0</v>
      </c>
      <c r="N124" s="22" t="n">
        <v>0</v>
      </c>
      <c r="O124" s="22" t="n">
        <v>0</v>
      </c>
      <c r="P124" s="22" t="n">
        <v>0</v>
      </c>
      <c r="Q124" s="21" t="n">
        <v>0</v>
      </c>
      <c r="R124" s="20" t="n">
        <v>0</v>
      </c>
      <c r="S124" s="21" t="n">
        <v>0</v>
      </c>
      <c r="T124" s="22" t="n">
        <v>100000</v>
      </c>
      <c r="U124" s="23" t="n">
        <v>1</v>
      </c>
      <c r="V124" s="23" t="n">
        <v>0</v>
      </c>
      <c r="W124" s="23" t="n">
        <v>0</v>
      </c>
      <c r="X124" s="40" t="n"/>
      <c r="Y124" s="18" t="n"/>
      <c r="Z124" s="18" t="inlineStr">
        <is>
          <t>NÃO</t>
        </is>
      </c>
    </row>
    <row r="125">
      <c r="A125" s="18" t="inlineStr">
        <is>
          <t>71/ALVLT</t>
        </is>
      </c>
      <c r="B125" s="18" t="inlineStr">
        <is>
          <t>SPE RESIDENCIAL OURILANDIA LTDA</t>
        </is>
      </c>
      <c r="C125" s="18" t="inlineStr">
        <is>
          <t>195</t>
        </is>
      </c>
      <c r="D125" s="18" t="inlineStr">
        <is>
          <t>CRISTIANO GOMES SOARES</t>
        </is>
      </c>
      <c r="E125" s="25" t="inlineStr">
        <is>
          <t>QUADRA 21/LOTE 27</t>
        </is>
      </c>
      <c r="F125" s="43" t="inlineStr">
        <is>
          <t>QUITADO</t>
        </is>
      </c>
      <c r="G125" s="22" t="n">
        <v>0</v>
      </c>
      <c r="H125" s="20" t="n">
        <v>36</v>
      </c>
      <c r="I125" s="20" t="n">
        <v>36</v>
      </c>
      <c r="J125" s="21" t="n">
        <v>17378.22</v>
      </c>
      <c r="K125" s="44" t="n">
        <v>0</v>
      </c>
      <c r="L125" s="22" t="n">
        <v>0</v>
      </c>
      <c r="M125" s="22" t="n">
        <v>0</v>
      </c>
      <c r="N125" s="22" t="n">
        <v>0</v>
      </c>
      <c r="O125" s="22" t="n">
        <v>0</v>
      </c>
      <c r="P125" s="22" t="n">
        <v>0</v>
      </c>
      <c r="Q125" s="21" t="n">
        <v>0</v>
      </c>
      <c r="R125" s="20" t="n">
        <v>0</v>
      </c>
      <c r="S125" s="21" t="n">
        <v>0</v>
      </c>
      <c r="T125" s="22" t="n">
        <v>17378.22</v>
      </c>
      <c r="U125" s="23" t="n">
        <v>1</v>
      </c>
      <c r="V125" s="23" t="n">
        <v>0</v>
      </c>
      <c r="W125" s="23" t="n">
        <v>0</v>
      </c>
      <c r="X125" s="40" t="n"/>
      <c r="Y125" s="18" t="n"/>
      <c r="Z125" s="18" t="inlineStr">
        <is>
          <t>NÃO</t>
        </is>
      </c>
    </row>
    <row r="126">
      <c r="A126" s="18" t="inlineStr">
        <is>
          <t>71/ALVLT</t>
        </is>
      </c>
      <c r="B126" s="18" t="inlineStr">
        <is>
          <t>SPE RESIDENCIAL OURILANDIA LTDA</t>
        </is>
      </c>
      <c r="C126" s="18" t="inlineStr">
        <is>
          <t>196</t>
        </is>
      </c>
      <c r="D126" s="18" t="inlineStr">
        <is>
          <t>ILTON CARLOS PEREIRA HARMEL</t>
        </is>
      </c>
      <c r="E126" s="25" t="inlineStr">
        <is>
          <t>QUADRA 34/LOTE 07</t>
        </is>
      </c>
      <c r="F126" s="43" t="inlineStr">
        <is>
          <t>QUITADO</t>
        </is>
      </c>
      <c r="G126" s="22" t="n">
        <v>10500</v>
      </c>
      <c r="H126" s="20" t="n">
        <v>1</v>
      </c>
      <c r="I126" s="20" t="n">
        <v>1</v>
      </c>
      <c r="J126" s="21" t="n">
        <v>10500</v>
      </c>
      <c r="K126" s="44" t="n">
        <v>0</v>
      </c>
      <c r="L126" s="22" t="n">
        <v>0</v>
      </c>
      <c r="M126" s="22" t="n">
        <v>0</v>
      </c>
      <c r="N126" s="22" t="n">
        <v>0</v>
      </c>
      <c r="O126" s="22" t="n">
        <v>0</v>
      </c>
      <c r="P126" s="22" t="n">
        <v>0</v>
      </c>
      <c r="Q126" s="21" t="n">
        <v>0</v>
      </c>
      <c r="R126" s="20" t="n">
        <v>0</v>
      </c>
      <c r="S126" s="21" t="n">
        <v>0</v>
      </c>
      <c r="T126" s="22" t="n">
        <v>10500</v>
      </c>
      <c r="U126" s="23" t="n">
        <v>1</v>
      </c>
      <c r="V126" s="23" t="n">
        <v>0</v>
      </c>
      <c r="W126" s="23" t="n">
        <v>0</v>
      </c>
      <c r="X126" s="40" t="n"/>
      <c r="Y126" s="18" t="n"/>
      <c r="Z126" s="18" t="inlineStr">
        <is>
          <t>NÃO</t>
        </is>
      </c>
    </row>
    <row r="127">
      <c r="A127" s="45" t="inlineStr">
        <is>
          <t>71/ALVLT</t>
        </is>
      </c>
      <c r="B127" s="45" t="inlineStr">
        <is>
          <t>SPE RESIDENCIAL OURILANDIA LTDA</t>
        </is>
      </c>
      <c r="C127" s="45" t="inlineStr">
        <is>
          <t>197</t>
        </is>
      </c>
      <c r="D127" s="45" t="inlineStr">
        <is>
          <t>SICOOB - SISTEMA DE COOPERATIVA DE CREDITO DO BRASIL</t>
        </is>
      </c>
      <c r="E127" s="46" t="n"/>
      <c r="F127" s="47" t="inlineStr">
        <is>
          <t>QUITADO</t>
        </is>
      </c>
      <c r="G127" s="48" t="n">
        <v>130000</v>
      </c>
      <c r="H127" s="49" t="n">
        <v>1</v>
      </c>
      <c r="I127" s="49" t="n">
        <v>1</v>
      </c>
      <c r="J127" s="50" t="n">
        <v>130000</v>
      </c>
      <c r="K127" s="44" t="n">
        <v>0</v>
      </c>
      <c r="L127" s="48" t="n">
        <v>0</v>
      </c>
      <c r="M127" s="48" t="n">
        <v>0</v>
      </c>
      <c r="N127" s="48" t="n">
        <v>0</v>
      </c>
      <c r="O127" s="48" t="n">
        <v>0</v>
      </c>
      <c r="P127" s="48" t="n">
        <v>0</v>
      </c>
      <c r="Q127" s="50" t="n">
        <v>0</v>
      </c>
      <c r="R127" s="49" t="n">
        <v>0</v>
      </c>
      <c r="S127" s="50" t="n">
        <v>0</v>
      </c>
      <c r="T127" s="48" t="n">
        <v>130000</v>
      </c>
      <c r="U127" s="51" t="n">
        <v>1</v>
      </c>
      <c r="V127" s="51" t="n">
        <v>0</v>
      </c>
      <c r="W127" s="51" t="n">
        <v>0</v>
      </c>
      <c r="X127" s="40" t="n"/>
      <c r="Y127" s="45" t="n"/>
      <c r="Z127" s="45" t="inlineStr">
        <is>
          <t>SIM</t>
        </is>
      </c>
    </row>
    <row r="128">
      <c r="A128" s="18" t="inlineStr">
        <is>
          <t>71/ALVLT</t>
        </is>
      </c>
      <c r="B128" s="18" t="inlineStr">
        <is>
          <t>SPE RESIDENCIAL OURILANDIA LTDA</t>
        </is>
      </c>
      <c r="C128" s="18" t="inlineStr">
        <is>
          <t>198</t>
        </is>
      </c>
      <c r="D128" s="18" t="inlineStr">
        <is>
          <t>EVALDO TEIXEIRA VIANA</t>
        </is>
      </c>
      <c r="E128" s="25" t="inlineStr">
        <is>
          <t>QUADRA 21/LOTE 15</t>
        </is>
      </c>
      <c r="F128" s="52" t="inlineStr">
        <is>
          <t>ADIMPLENTE</t>
        </is>
      </c>
      <c r="G128" s="22" t="n">
        <v>297</v>
      </c>
      <c r="H128" s="20" t="n">
        <v>140</v>
      </c>
      <c r="I128" s="20" t="n">
        <v>33</v>
      </c>
      <c r="J128" s="21" t="n">
        <v>10723.09</v>
      </c>
      <c r="K128" s="44" t="n">
        <v>0</v>
      </c>
      <c r="L128" s="22" t="n">
        <v>0</v>
      </c>
      <c r="M128" s="22" t="n">
        <v>0</v>
      </c>
      <c r="N128" s="22" t="n">
        <v>0</v>
      </c>
      <c r="O128" s="22" t="n">
        <v>0</v>
      </c>
      <c r="P128" s="22" t="n">
        <v>0</v>
      </c>
      <c r="Q128" s="21" t="n">
        <v>0</v>
      </c>
      <c r="R128" s="20" t="n">
        <v>105</v>
      </c>
      <c r="S128" s="21" t="n">
        <v>41521.2</v>
      </c>
      <c r="T128" s="22" t="n">
        <v>52244.29</v>
      </c>
      <c r="U128" s="23" t="n">
        <v>0.205249</v>
      </c>
      <c r="V128" s="23" t="n">
        <v>0</v>
      </c>
      <c r="W128" s="23" t="n">
        <v>0.794751</v>
      </c>
      <c r="X128" s="40" t="n">
        <v>20</v>
      </c>
      <c r="Y128" s="18" t="n"/>
      <c r="Z128" s="18" t="inlineStr">
        <is>
          <t>NÃO</t>
        </is>
      </c>
    </row>
    <row r="129">
      <c r="A129" s="18" t="inlineStr">
        <is>
          <t>71/ALVLT</t>
        </is>
      </c>
      <c r="B129" s="18" t="inlineStr">
        <is>
          <t>SPE RESIDENCIAL OURILANDIA LTDA</t>
        </is>
      </c>
      <c r="C129" s="18" t="inlineStr">
        <is>
          <t>2</t>
        </is>
      </c>
      <c r="D129" s="18" t="inlineStr">
        <is>
          <t>ALEX OLIVEIRA COSTA</t>
        </is>
      </c>
      <c r="E129" s="25" t="inlineStr">
        <is>
          <t>QUADRA 25/LOTE 03</t>
        </is>
      </c>
      <c r="F129" s="43" t="inlineStr">
        <is>
          <t>QUITADO</t>
        </is>
      </c>
      <c r="G129" s="22" t="n">
        <v>0</v>
      </c>
      <c r="H129" s="20" t="n">
        <v>121</v>
      </c>
      <c r="I129" s="20" t="n">
        <v>121</v>
      </c>
      <c r="J129" s="21" t="n">
        <v>51309.9</v>
      </c>
      <c r="K129" s="44" t="n">
        <v>0</v>
      </c>
      <c r="L129" s="22" t="n">
        <v>0</v>
      </c>
      <c r="M129" s="22" t="n">
        <v>0</v>
      </c>
      <c r="N129" s="22" t="n">
        <v>0</v>
      </c>
      <c r="O129" s="22" t="n">
        <v>0</v>
      </c>
      <c r="P129" s="22" t="n">
        <v>0</v>
      </c>
      <c r="Q129" s="21" t="n">
        <v>0</v>
      </c>
      <c r="R129" s="20" t="n">
        <v>0</v>
      </c>
      <c r="S129" s="21" t="n">
        <v>0</v>
      </c>
      <c r="T129" s="22" t="n">
        <v>51309.9</v>
      </c>
      <c r="U129" s="23" t="n">
        <v>1</v>
      </c>
      <c r="V129" s="23" t="n">
        <v>0</v>
      </c>
      <c r="W129" s="23" t="n">
        <v>0</v>
      </c>
      <c r="X129" s="40" t="n"/>
      <c r="Y129" s="18" t="n"/>
      <c r="Z129" s="18" t="inlineStr">
        <is>
          <t>NÃO</t>
        </is>
      </c>
    </row>
    <row r="130">
      <c r="A130" s="18" t="inlineStr">
        <is>
          <t>71/ALVLT</t>
        </is>
      </c>
      <c r="B130" s="18" t="inlineStr">
        <is>
          <t>SPE RESIDENCIAL OURILANDIA LTDA</t>
        </is>
      </c>
      <c r="C130" s="18" t="inlineStr">
        <is>
          <t>20</t>
        </is>
      </c>
      <c r="D130" s="18" t="inlineStr">
        <is>
          <t>DAMACIO MELO DA SILVA RAMOS</t>
        </is>
      </c>
      <c r="E130" s="25" t="inlineStr">
        <is>
          <t>QUADRA 23/LOTE 03</t>
        </is>
      </c>
      <c r="F130" s="52" t="inlineStr">
        <is>
          <t>ADIMPLENTE</t>
        </is>
      </c>
      <c r="G130" s="22" t="n">
        <v>250</v>
      </c>
      <c r="H130" s="20" t="n">
        <v>120</v>
      </c>
      <c r="I130" s="20" t="n">
        <v>105</v>
      </c>
      <c r="J130" s="21" t="n">
        <v>43955.14</v>
      </c>
      <c r="K130" s="44" t="n">
        <v>0</v>
      </c>
      <c r="L130" s="22" t="n">
        <v>0</v>
      </c>
      <c r="M130" s="22" t="n">
        <v>0</v>
      </c>
      <c r="N130" s="22" t="n">
        <v>0</v>
      </c>
      <c r="O130" s="22" t="n">
        <v>0</v>
      </c>
      <c r="P130" s="22" t="n">
        <v>0</v>
      </c>
      <c r="Q130" s="21" t="n">
        <v>0</v>
      </c>
      <c r="R130" s="20" t="n">
        <v>15</v>
      </c>
      <c r="S130" s="21" t="n">
        <v>9913.35</v>
      </c>
      <c r="T130" s="22" t="n">
        <v>53868.49</v>
      </c>
      <c r="U130" s="23" t="n">
        <v>0.815971</v>
      </c>
      <c r="V130" s="23" t="n">
        <v>0</v>
      </c>
      <c r="W130" s="23" t="n">
        <v>0.184029</v>
      </c>
      <c r="X130" s="40" t="n">
        <v>10</v>
      </c>
      <c r="Y130" s="18" t="n"/>
      <c r="Z130" s="18" t="inlineStr">
        <is>
          <t>NÃO</t>
        </is>
      </c>
    </row>
    <row r="131">
      <c r="A131" s="45" t="inlineStr">
        <is>
          <t>71/ALVLT</t>
        </is>
      </c>
      <c r="B131" s="45" t="inlineStr">
        <is>
          <t>SPE RESIDENCIAL OURILANDIA LTDA</t>
        </is>
      </c>
      <c r="C131" s="45" t="inlineStr">
        <is>
          <t>201</t>
        </is>
      </c>
      <c r="D131" s="45" t="inlineStr">
        <is>
          <t>SICOOB - SISTEMA DE COOPERATIVA DE CREDITO DO BRASIL</t>
        </is>
      </c>
      <c r="E131" s="46" t="n"/>
      <c r="F131" s="47" t="inlineStr">
        <is>
          <t>QUITADO</t>
        </is>
      </c>
      <c r="G131" s="48" t="n">
        <v>70000</v>
      </c>
      <c r="H131" s="49" t="n">
        <v>1</v>
      </c>
      <c r="I131" s="49" t="n">
        <v>1</v>
      </c>
      <c r="J131" s="50" t="n">
        <v>70000</v>
      </c>
      <c r="K131" s="44" t="n">
        <v>0</v>
      </c>
      <c r="L131" s="48" t="n">
        <v>0</v>
      </c>
      <c r="M131" s="48" t="n">
        <v>0</v>
      </c>
      <c r="N131" s="48" t="n">
        <v>0</v>
      </c>
      <c r="O131" s="48" t="n">
        <v>0</v>
      </c>
      <c r="P131" s="48" t="n">
        <v>0</v>
      </c>
      <c r="Q131" s="50" t="n">
        <v>0</v>
      </c>
      <c r="R131" s="49" t="n">
        <v>0</v>
      </c>
      <c r="S131" s="50" t="n">
        <v>0</v>
      </c>
      <c r="T131" s="48" t="n">
        <v>70000</v>
      </c>
      <c r="U131" s="51" t="n">
        <v>1</v>
      </c>
      <c r="V131" s="51" t="n">
        <v>0</v>
      </c>
      <c r="W131" s="51" t="n">
        <v>0</v>
      </c>
      <c r="X131" s="40" t="n"/>
      <c r="Y131" s="45" t="n"/>
      <c r="Z131" s="45" t="inlineStr">
        <is>
          <t>SIM</t>
        </is>
      </c>
    </row>
    <row r="132">
      <c r="A132" s="45" t="inlineStr">
        <is>
          <t>71/ALVLT</t>
        </is>
      </c>
      <c r="B132" s="45" t="inlineStr">
        <is>
          <t>SPE RESIDENCIAL OURILANDIA LTDA</t>
        </is>
      </c>
      <c r="C132" s="45" t="inlineStr">
        <is>
          <t>202</t>
        </is>
      </c>
      <c r="D132" s="45" t="inlineStr">
        <is>
          <t>SICOOB - SISTEMA DE COOPERATIVA DE CREDITO DO BRASIL</t>
        </is>
      </c>
      <c r="E132" s="46" t="n"/>
      <c r="F132" s="47" t="inlineStr">
        <is>
          <t>QUITADO</t>
        </is>
      </c>
      <c r="G132" s="48" t="n">
        <v>130000</v>
      </c>
      <c r="H132" s="49" t="n">
        <v>1</v>
      </c>
      <c r="I132" s="49" t="n">
        <v>1</v>
      </c>
      <c r="J132" s="50" t="n">
        <v>130000</v>
      </c>
      <c r="K132" s="44" t="n">
        <v>0</v>
      </c>
      <c r="L132" s="48" t="n">
        <v>0</v>
      </c>
      <c r="M132" s="48" t="n">
        <v>0</v>
      </c>
      <c r="N132" s="48" t="n">
        <v>0</v>
      </c>
      <c r="O132" s="48" t="n">
        <v>0</v>
      </c>
      <c r="P132" s="48" t="n">
        <v>0</v>
      </c>
      <c r="Q132" s="50" t="n">
        <v>0</v>
      </c>
      <c r="R132" s="49" t="n">
        <v>0</v>
      </c>
      <c r="S132" s="50" t="n">
        <v>0</v>
      </c>
      <c r="T132" s="48" t="n">
        <v>130000</v>
      </c>
      <c r="U132" s="51" t="n">
        <v>1</v>
      </c>
      <c r="V132" s="51" t="n">
        <v>0</v>
      </c>
      <c r="W132" s="51" t="n">
        <v>0</v>
      </c>
      <c r="X132" s="40" t="n"/>
      <c r="Y132" s="45" t="n"/>
      <c r="Z132" s="45" t="inlineStr">
        <is>
          <t>SIM</t>
        </is>
      </c>
    </row>
    <row r="133">
      <c r="A133" s="18" t="inlineStr">
        <is>
          <t>71/ALVLT</t>
        </is>
      </c>
      <c r="B133" s="18" t="inlineStr">
        <is>
          <t>SPE RESIDENCIAL OURILANDIA LTDA</t>
        </is>
      </c>
      <c r="C133" s="18" t="inlineStr">
        <is>
          <t>203</t>
        </is>
      </c>
      <c r="D133" s="18" t="inlineStr">
        <is>
          <t>HWASKAR FAGUNDES</t>
        </is>
      </c>
      <c r="E133" s="25" t="n"/>
      <c r="F133" s="43" t="inlineStr">
        <is>
          <t>QUITADO</t>
        </is>
      </c>
      <c r="G133" s="22" t="n">
        <v>100000</v>
      </c>
      <c r="H133" s="20" t="n">
        <v>1</v>
      </c>
      <c r="I133" s="20" t="n">
        <v>1</v>
      </c>
      <c r="J133" s="21" t="n">
        <v>100000</v>
      </c>
      <c r="K133" s="44" t="n">
        <v>0</v>
      </c>
      <c r="L133" s="22" t="n">
        <v>0</v>
      </c>
      <c r="M133" s="22" t="n">
        <v>0</v>
      </c>
      <c r="N133" s="22" t="n">
        <v>0</v>
      </c>
      <c r="O133" s="22" t="n">
        <v>0</v>
      </c>
      <c r="P133" s="22" t="n">
        <v>0</v>
      </c>
      <c r="Q133" s="21" t="n">
        <v>0</v>
      </c>
      <c r="R133" s="20" t="n">
        <v>0</v>
      </c>
      <c r="S133" s="21" t="n">
        <v>0</v>
      </c>
      <c r="T133" s="22" t="n">
        <v>100000</v>
      </c>
      <c r="U133" s="23" t="n">
        <v>1</v>
      </c>
      <c r="V133" s="23" t="n">
        <v>0</v>
      </c>
      <c r="W133" s="23" t="n">
        <v>0</v>
      </c>
      <c r="X133" s="40" t="n"/>
      <c r="Y133" s="18" t="n"/>
      <c r="Z133" s="18" t="inlineStr">
        <is>
          <t>NÃO</t>
        </is>
      </c>
    </row>
    <row r="134">
      <c r="A134" s="18" t="inlineStr">
        <is>
          <t>71/ALVLT</t>
        </is>
      </c>
      <c r="B134" s="18" t="inlineStr">
        <is>
          <t>SPE RESIDENCIAL OURILANDIA LTDA</t>
        </is>
      </c>
      <c r="C134" s="18" t="inlineStr">
        <is>
          <t>204</t>
        </is>
      </c>
      <c r="D134" s="18" t="inlineStr">
        <is>
          <t>RODRIGO COELHO ALVES</t>
        </is>
      </c>
      <c r="E134" s="25" t="n"/>
      <c r="F134" s="43" t="inlineStr">
        <is>
          <t>QUITADO</t>
        </is>
      </c>
      <c r="G134" s="22" t="n">
        <v>30000</v>
      </c>
      <c r="H134" s="20" t="n">
        <v>1</v>
      </c>
      <c r="I134" s="20" t="n">
        <v>1</v>
      </c>
      <c r="J134" s="21" t="n">
        <v>30000</v>
      </c>
      <c r="K134" s="44" t="n">
        <v>0</v>
      </c>
      <c r="L134" s="22" t="n">
        <v>0</v>
      </c>
      <c r="M134" s="22" t="n">
        <v>0</v>
      </c>
      <c r="N134" s="22" t="n">
        <v>0</v>
      </c>
      <c r="O134" s="22" t="n">
        <v>0</v>
      </c>
      <c r="P134" s="22" t="n">
        <v>0</v>
      </c>
      <c r="Q134" s="21" t="n">
        <v>0</v>
      </c>
      <c r="R134" s="20" t="n">
        <v>0</v>
      </c>
      <c r="S134" s="21" t="n">
        <v>0</v>
      </c>
      <c r="T134" s="22" t="n">
        <v>30000</v>
      </c>
      <c r="U134" s="23" t="n">
        <v>1</v>
      </c>
      <c r="V134" s="23" t="n">
        <v>0</v>
      </c>
      <c r="W134" s="23" t="n">
        <v>0</v>
      </c>
      <c r="X134" s="40" t="n"/>
      <c r="Y134" s="18" t="n"/>
      <c r="Z134" s="18" t="inlineStr">
        <is>
          <t>NÃO</t>
        </is>
      </c>
    </row>
    <row r="135">
      <c r="A135" s="18" t="inlineStr">
        <is>
          <t>71/ALVLT</t>
        </is>
      </c>
      <c r="B135" s="18" t="inlineStr">
        <is>
          <t>SPE RESIDENCIAL OURILANDIA LTDA</t>
        </is>
      </c>
      <c r="C135" s="18" t="inlineStr">
        <is>
          <t>205</t>
        </is>
      </c>
      <c r="D135" s="18" t="inlineStr">
        <is>
          <t>GILSON FERREIRA DE SOUSA</t>
        </is>
      </c>
      <c r="E135" s="25" t="inlineStr">
        <is>
          <t>QUADRA 21/LOTE 21</t>
        </is>
      </c>
      <c r="F135" s="52" t="inlineStr">
        <is>
          <t>ADIMPLENTE</t>
        </is>
      </c>
      <c r="G135" s="22" t="n">
        <v>500</v>
      </c>
      <c r="H135" s="20" t="n">
        <v>48</v>
      </c>
      <c r="I135" s="20" t="n">
        <v>27</v>
      </c>
      <c r="J135" s="21" t="n">
        <v>13809.72</v>
      </c>
      <c r="K135" s="44" t="n">
        <v>0</v>
      </c>
      <c r="L135" s="22" t="n">
        <v>0</v>
      </c>
      <c r="M135" s="22" t="n">
        <v>0</v>
      </c>
      <c r="N135" s="22" t="n">
        <v>0</v>
      </c>
      <c r="O135" s="22" t="n">
        <v>0</v>
      </c>
      <c r="P135" s="22" t="n">
        <v>0</v>
      </c>
      <c r="Q135" s="21" t="n">
        <v>0</v>
      </c>
      <c r="R135" s="20" t="n">
        <v>21</v>
      </c>
      <c r="S135" s="21" t="n">
        <v>11553.99</v>
      </c>
      <c r="T135" s="22" t="n">
        <v>25363.71</v>
      </c>
      <c r="U135" s="23" t="n">
        <v>0.544468</v>
      </c>
      <c r="V135" s="23" t="n">
        <v>0</v>
      </c>
      <c r="W135" s="23" t="n">
        <v>0.455532</v>
      </c>
      <c r="X135" s="40" t="n">
        <v>7</v>
      </c>
      <c r="Y135" s="18" t="n"/>
      <c r="Z135" s="18" t="inlineStr">
        <is>
          <t>NÃO</t>
        </is>
      </c>
    </row>
    <row r="136">
      <c r="A136" s="18" t="inlineStr">
        <is>
          <t>71/ALVLT</t>
        </is>
      </c>
      <c r="B136" s="18" t="inlineStr">
        <is>
          <t>SPE RESIDENCIAL OURILANDIA LTDA</t>
        </is>
      </c>
      <c r="C136" s="18" t="inlineStr">
        <is>
          <t>206</t>
        </is>
      </c>
      <c r="D136" s="18" t="inlineStr">
        <is>
          <t>ANTONIO CARLOS RIBEIRO DE SOUSA</t>
        </is>
      </c>
      <c r="E136" s="25" t="inlineStr">
        <is>
          <t>QUADRA 34/LOTE 04</t>
        </is>
      </c>
      <c r="F136" s="52" t="inlineStr">
        <is>
          <t>ADIMPLENTE</t>
        </is>
      </c>
      <c r="G136" s="22" t="n">
        <v>500</v>
      </c>
      <c r="H136" s="20" t="n">
        <v>48</v>
      </c>
      <c r="I136" s="20" t="n">
        <v>27</v>
      </c>
      <c r="J136" s="21" t="n">
        <v>13809.72</v>
      </c>
      <c r="K136" s="44" t="n">
        <v>0</v>
      </c>
      <c r="L136" s="22" t="n">
        <v>0</v>
      </c>
      <c r="M136" s="22" t="n">
        <v>0</v>
      </c>
      <c r="N136" s="22" t="n">
        <v>0</v>
      </c>
      <c r="O136" s="22" t="n">
        <v>0</v>
      </c>
      <c r="P136" s="22" t="n">
        <v>0</v>
      </c>
      <c r="Q136" s="21" t="n">
        <v>0</v>
      </c>
      <c r="R136" s="20" t="n">
        <v>21</v>
      </c>
      <c r="S136" s="21" t="n">
        <v>11553.99</v>
      </c>
      <c r="T136" s="22" t="n">
        <v>25363.71</v>
      </c>
      <c r="U136" s="23" t="n">
        <v>0.544468</v>
      </c>
      <c r="V136" s="23" t="n">
        <v>0</v>
      </c>
      <c r="W136" s="23" t="n">
        <v>0.455532</v>
      </c>
      <c r="X136" s="40" t="n">
        <v>7</v>
      </c>
      <c r="Y136" s="18" t="n"/>
      <c r="Z136" s="18" t="inlineStr">
        <is>
          <t>NÃO</t>
        </is>
      </c>
    </row>
    <row r="137">
      <c r="A137" s="18" t="inlineStr">
        <is>
          <t>71/ALVLT</t>
        </is>
      </c>
      <c r="B137" s="18" t="inlineStr">
        <is>
          <t>SPE RESIDENCIAL OURILANDIA LTDA</t>
        </is>
      </c>
      <c r="C137" s="18" t="inlineStr">
        <is>
          <t>209</t>
        </is>
      </c>
      <c r="D137" s="18" t="inlineStr">
        <is>
          <t>LURDELENE DE SOUZA LEITE</t>
        </is>
      </c>
      <c r="E137" s="25" t="inlineStr">
        <is>
          <t>QUADRA 21/LOTE 22</t>
        </is>
      </c>
      <c r="F137" s="52" t="inlineStr">
        <is>
          <t>ADIMPLENTE</t>
        </is>
      </c>
      <c r="G137" s="22" t="n">
        <v>500</v>
      </c>
      <c r="H137" s="20" t="n">
        <v>48</v>
      </c>
      <c r="I137" s="20" t="n">
        <v>27</v>
      </c>
      <c r="J137" s="21" t="n">
        <v>13793.37</v>
      </c>
      <c r="K137" s="44" t="n">
        <v>0</v>
      </c>
      <c r="L137" s="22" t="n">
        <v>0</v>
      </c>
      <c r="M137" s="22" t="n">
        <v>0</v>
      </c>
      <c r="N137" s="22" t="n">
        <v>0</v>
      </c>
      <c r="O137" s="22" t="n">
        <v>0</v>
      </c>
      <c r="P137" s="22" t="n">
        <v>0</v>
      </c>
      <c r="Q137" s="21" t="n">
        <v>0</v>
      </c>
      <c r="R137" s="20" t="n">
        <v>21</v>
      </c>
      <c r="S137" s="21" t="n">
        <v>11508.63</v>
      </c>
      <c r="T137" s="22" t="n">
        <v>25302</v>
      </c>
      <c r="U137" s="23" t="n">
        <v>0.545149</v>
      </c>
      <c r="V137" s="23" t="n">
        <v>0</v>
      </c>
      <c r="W137" s="23" t="n">
        <v>0.454851</v>
      </c>
      <c r="X137" s="40" t="n">
        <v>11</v>
      </c>
      <c r="Y137" s="18" t="n"/>
      <c r="Z137" s="18" t="inlineStr">
        <is>
          <t>NÃO</t>
        </is>
      </c>
    </row>
    <row r="138">
      <c r="A138" s="18" t="inlineStr">
        <is>
          <t>71/ALVLT</t>
        </is>
      </c>
      <c r="B138" s="18" t="inlineStr">
        <is>
          <t>SPE RESIDENCIAL OURILANDIA LTDA</t>
        </is>
      </c>
      <c r="C138" s="18" t="inlineStr">
        <is>
          <t>21</t>
        </is>
      </c>
      <c r="D138" s="18" t="inlineStr">
        <is>
          <t>DAMACIO MELO DA SILVA RAMOS</t>
        </is>
      </c>
      <c r="E138" s="25" t="inlineStr">
        <is>
          <t>QUADRA 23/LOTE 02</t>
        </is>
      </c>
      <c r="F138" s="52" t="inlineStr">
        <is>
          <t>ADIMPLENTE</t>
        </is>
      </c>
      <c r="G138" s="22" t="n">
        <v>1071.78</v>
      </c>
      <c r="H138" s="20" t="n">
        <v>120</v>
      </c>
      <c r="I138" s="20" t="n">
        <v>105</v>
      </c>
      <c r="J138" s="21" t="n">
        <v>43780.07</v>
      </c>
      <c r="K138" s="44" t="n">
        <v>0</v>
      </c>
      <c r="L138" s="22" t="n">
        <v>0</v>
      </c>
      <c r="M138" s="22" t="n">
        <v>0</v>
      </c>
      <c r="N138" s="22" t="n">
        <v>0</v>
      </c>
      <c r="O138" s="22" t="n">
        <v>0</v>
      </c>
      <c r="P138" s="22" t="n">
        <v>0</v>
      </c>
      <c r="Q138" s="21" t="n">
        <v>0</v>
      </c>
      <c r="R138" s="20" t="n">
        <v>15</v>
      </c>
      <c r="S138" s="21" t="n">
        <v>9913.35</v>
      </c>
      <c r="T138" s="22" t="n">
        <v>53693.42</v>
      </c>
      <c r="U138" s="23" t="n">
        <v>0.815371</v>
      </c>
      <c r="V138" s="23" t="n">
        <v>0</v>
      </c>
      <c r="W138" s="23" t="n">
        <v>0.184629</v>
      </c>
      <c r="X138" s="40" t="n">
        <v>10</v>
      </c>
      <c r="Y138" s="18" t="n"/>
      <c r="Z138" s="18" t="inlineStr">
        <is>
          <t>NÃO</t>
        </is>
      </c>
    </row>
    <row r="139">
      <c r="A139" s="18" t="inlineStr">
        <is>
          <t>71/ALVLT</t>
        </is>
      </c>
      <c r="B139" s="18" t="inlineStr">
        <is>
          <t>SPE RESIDENCIAL OURILANDIA LTDA</t>
        </is>
      </c>
      <c r="C139" s="18" t="inlineStr">
        <is>
          <t>210</t>
        </is>
      </c>
      <c r="D139" s="18" t="inlineStr">
        <is>
          <t>ERISMAR DA SILVA RICARDO</t>
        </is>
      </c>
      <c r="E139" s="25" t="inlineStr">
        <is>
          <t>QUADRA 21/LOTE 23</t>
        </is>
      </c>
      <c r="F139" s="43" t="inlineStr">
        <is>
          <t>QUITADO</t>
        </is>
      </c>
      <c r="G139" s="22" t="n">
        <v>0</v>
      </c>
      <c r="H139" s="20" t="n">
        <v>48</v>
      </c>
      <c r="I139" s="20" t="n">
        <v>20</v>
      </c>
      <c r="J139" s="21" t="n">
        <v>10377.32</v>
      </c>
      <c r="K139" s="44" t="n">
        <v>0</v>
      </c>
      <c r="L139" s="22" t="n">
        <v>0</v>
      </c>
      <c r="M139" s="22" t="n">
        <v>0</v>
      </c>
      <c r="N139" s="22" t="n">
        <v>0</v>
      </c>
      <c r="O139" s="22" t="n">
        <v>0</v>
      </c>
      <c r="P139" s="22" t="n">
        <v>0</v>
      </c>
      <c r="Q139" s="21" t="n">
        <v>0</v>
      </c>
      <c r="R139" s="20" t="n">
        <v>0</v>
      </c>
      <c r="S139" s="21" t="n">
        <v>0</v>
      </c>
      <c r="T139" s="22" t="n">
        <v>10377.32</v>
      </c>
      <c r="U139" s="23" t="n">
        <v>1</v>
      </c>
      <c r="V139" s="23" t="n">
        <v>0</v>
      </c>
      <c r="W139" s="23" t="n">
        <v>0</v>
      </c>
      <c r="X139" s="40" t="n"/>
      <c r="Y139" s="18" t="n"/>
      <c r="Z139" s="18" t="inlineStr">
        <is>
          <t>NÃO</t>
        </is>
      </c>
    </row>
    <row r="140">
      <c r="A140" s="18" t="inlineStr">
        <is>
          <t>71/ALVLT</t>
        </is>
      </c>
      <c r="B140" s="18" t="inlineStr">
        <is>
          <t>SPE RESIDENCIAL OURILANDIA LTDA</t>
        </is>
      </c>
      <c r="C140" s="18" t="inlineStr">
        <is>
          <t>211</t>
        </is>
      </c>
      <c r="D140" s="18" t="inlineStr">
        <is>
          <t>JOSE RENATO DIAS DA SILVA</t>
        </is>
      </c>
      <c r="E140" s="25" t="inlineStr">
        <is>
          <t>QUADRA 34/LOTE 15</t>
        </is>
      </c>
      <c r="F140" s="52" t="inlineStr">
        <is>
          <t>ADIMPLENTE</t>
        </is>
      </c>
      <c r="G140" s="22" t="n">
        <v>500</v>
      </c>
      <c r="H140" s="20" t="n">
        <v>48</v>
      </c>
      <c r="I140" s="20" t="n">
        <v>27</v>
      </c>
      <c r="J140" s="21" t="n">
        <v>13593.72</v>
      </c>
      <c r="K140" s="44" t="n">
        <v>0</v>
      </c>
      <c r="L140" s="22" t="n">
        <v>0</v>
      </c>
      <c r="M140" s="22" t="n">
        <v>0</v>
      </c>
      <c r="N140" s="22" t="n">
        <v>0</v>
      </c>
      <c r="O140" s="22" t="n">
        <v>0</v>
      </c>
      <c r="P140" s="22" t="n">
        <v>0</v>
      </c>
      <c r="Q140" s="21" t="n">
        <v>0</v>
      </c>
      <c r="R140" s="20" t="n">
        <v>22</v>
      </c>
      <c r="S140" s="21" t="n">
        <v>12145.32</v>
      </c>
      <c r="T140" s="22" t="n">
        <v>25739.04</v>
      </c>
      <c r="U140" s="23" t="n">
        <v>0.528136</v>
      </c>
      <c r="V140" s="23" t="n">
        <v>0</v>
      </c>
      <c r="W140" s="23" t="n">
        <v>0.471864</v>
      </c>
      <c r="X140" s="40" t="n">
        <v>16</v>
      </c>
      <c r="Y140" s="18" t="n"/>
      <c r="Z140" s="18" t="inlineStr">
        <is>
          <t>NÃO</t>
        </is>
      </c>
    </row>
    <row r="141">
      <c r="A141" s="18" t="inlineStr">
        <is>
          <t>71/ALVLT</t>
        </is>
      </c>
      <c r="B141" s="18" t="inlineStr">
        <is>
          <t>SPE RESIDENCIAL OURILANDIA LTDA</t>
        </is>
      </c>
      <c r="C141" s="18" t="inlineStr">
        <is>
          <t>212</t>
        </is>
      </c>
      <c r="D141" s="18" t="inlineStr">
        <is>
          <t>RANIERY SANTANA DE OLIVEIRA COSTA</t>
        </is>
      </c>
      <c r="E141" s="25" t="n"/>
      <c r="F141" s="43" t="inlineStr">
        <is>
          <t>QUITADO</t>
        </is>
      </c>
      <c r="G141" s="22" t="n">
        <v>34500</v>
      </c>
      <c r="H141" s="20" t="n">
        <v>1</v>
      </c>
      <c r="I141" s="20" t="n">
        <v>1</v>
      </c>
      <c r="J141" s="21" t="n">
        <v>34500</v>
      </c>
      <c r="K141" s="44" t="n">
        <v>0</v>
      </c>
      <c r="L141" s="22" t="n">
        <v>0</v>
      </c>
      <c r="M141" s="22" t="n">
        <v>0</v>
      </c>
      <c r="N141" s="22" t="n">
        <v>0</v>
      </c>
      <c r="O141" s="22" t="n">
        <v>0</v>
      </c>
      <c r="P141" s="22" t="n">
        <v>0</v>
      </c>
      <c r="Q141" s="21" t="n">
        <v>0</v>
      </c>
      <c r="R141" s="20" t="n">
        <v>0</v>
      </c>
      <c r="S141" s="21" t="n">
        <v>0</v>
      </c>
      <c r="T141" s="22" t="n">
        <v>34500</v>
      </c>
      <c r="U141" s="23" t="n">
        <v>1</v>
      </c>
      <c r="V141" s="23" t="n">
        <v>0</v>
      </c>
      <c r="W141" s="23" t="n">
        <v>0</v>
      </c>
      <c r="X141" s="40" t="n"/>
      <c r="Y141" s="18" t="n"/>
      <c r="Z141" s="18" t="inlineStr">
        <is>
          <t>NÃO</t>
        </is>
      </c>
    </row>
    <row r="142">
      <c r="A142" s="18" t="inlineStr">
        <is>
          <t>71/ALVLT</t>
        </is>
      </c>
      <c r="B142" s="18" t="inlineStr">
        <is>
          <t>SPE RESIDENCIAL OURILANDIA LTDA</t>
        </is>
      </c>
      <c r="C142" s="18" t="inlineStr">
        <is>
          <t>213</t>
        </is>
      </c>
      <c r="D142" s="18" t="inlineStr">
        <is>
          <t>MARCIANO JOSE PEREIRA DOS ANJOS</t>
        </is>
      </c>
      <c r="E142" s="25" t="inlineStr">
        <is>
          <t>QUADRA 21/LOTE 24</t>
        </is>
      </c>
      <c r="F142" s="52" t="inlineStr">
        <is>
          <t>ADIMPLENTE</t>
        </is>
      </c>
      <c r="G142" s="22" t="n">
        <v>500</v>
      </c>
      <c r="H142" s="20" t="n">
        <v>48</v>
      </c>
      <c r="I142" s="20" t="n">
        <v>25</v>
      </c>
      <c r="J142" s="21" t="n">
        <v>12818.74</v>
      </c>
      <c r="K142" s="44" t="n">
        <v>0</v>
      </c>
      <c r="L142" s="22" t="n">
        <v>0</v>
      </c>
      <c r="M142" s="22" t="n">
        <v>0</v>
      </c>
      <c r="N142" s="22" t="n">
        <v>0</v>
      </c>
      <c r="O142" s="22" t="n">
        <v>0</v>
      </c>
      <c r="P142" s="22" t="n">
        <v>0</v>
      </c>
      <c r="Q142" s="21" t="n">
        <v>0</v>
      </c>
      <c r="R142" s="20" t="n">
        <v>23</v>
      </c>
      <c r="S142" s="21" t="n">
        <v>12604.69</v>
      </c>
      <c r="T142" s="22" t="n">
        <v>25423.43</v>
      </c>
      <c r="U142" s="23" t="n">
        <v>0.50421</v>
      </c>
      <c r="V142" s="23" t="n">
        <v>0</v>
      </c>
      <c r="W142" s="23" t="n">
        <v>0.49579</v>
      </c>
      <c r="X142" s="40" t="n">
        <v>15</v>
      </c>
      <c r="Y142" s="18" t="n"/>
      <c r="Z142" s="18" t="inlineStr">
        <is>
          <t>NÃO</t>
        </is>
      </c>
    </row>
    <row r="143">
      <c r="A143" s="45" t="inlineStr">
        <is>
          <t>71/ALVLT</t>
        </is>
      </c>
      <c r="B143" s="45" t="inlineStr">
        <is>
          <t>SPE RESIDENCIAL OURILANDIA LTDA</t>
        </is>
      </c>
      <c r="C143" s="45" t="inlineStr">
        <is>
          <t>214</t>
        </is>
      </c>
      <c r="D143" s="45" t="inlineStr">
        <is>
          <t>SICOOB - SISTEMA DE COOPERATIVA DE CREDITO DO BRASIL</t>
        </is>
      </c>
      <c r="E143" s="46" t="n"/>
      <c r="F143" s="47" t="inlineStr">
        <is>
          <t>QUITADO</t>
        </is>
      </c>
      <c r="G143" s="48" t="n">
        <v>62500</v>
      </c>
      <c r="H143" s="49" t="n">
        <v>1</v>
      </c>
      <c r="I143" s="49" t="n">
        <v>1</v>
      </c>
      <c r="J143" s="50" t="n">
        <v>62500</v>
      </c>
      <c r="K143" s="44" t="n">
        <v>0</v>
      </c>
      <c r="L143" s="48" t="n">
        <v>0</v>
      </c>
      <c r="M143" s="48" t="n">
        <v>0</v>
      </c>
      <c r="N143" s="48" t="n">
        <v>0</v>
      </c>
      <c r="O143" s="48" t="n">
        <v>0</v>
      </c>
      <c r="P143" s="48" t="n">
        <v>0</v>
      </c>
      <c r="Q143" s="50" t="n">
        <v>0</v>
      </c>
      <c r="R143" s="49" t="n">
        <v>0</v>
      </c>
      <c r="S143" s="50" t="n">
        <v>0</v>
      </c>
      <c r="T143" s="48" t="n">
        <v>62500</v>
      </c>
      <c r="U143" s="51" t="n">
        <v>1</v>
      </c>
      <c r="V143" s="51" t="n">
        <v>0</v>
      </c>
      <c r="W143" s="51" t="n">
        <v>0</v>
      </c>
      <c r="X143" s="40" t="n"/>
      <c r="Y143" s="45" t="n"/>
      <c r="Z143" s="45" t="inlineStr">
        <is>
          <t>SIM</t>
        </is>
      </c>
    </row>
    <row r="144">
      <c r="A144" s="45" t="inlineStr">
        <is>
          <t>71/ALVLT</t>
        </is>
      </c>
      <c r="B144" s="45" t="inlineStr">
        <is>
          <t>SPE RESIDENCIAL OURILANDIA LTDA</t>
        </is>
      </c>
      <c r="C144" s="45" t="inlineStr">
        <is>
          <t>215</t>
        </is>
      </c>
      <c r="D144" s="45" t="inlineStr">
        <is>
          <t>SICOOB - SISTEMA DE COOPERATIVA DE CREDITO DO BRASIL</t>
        </is>
      </c>
      <c r="E144" s="46" t="n"/>
      <c r="F144" s="47" t="inlineStr">
        <is>
          <t>QUITADO</t>
        </is>
      </c>
      <c r="G144" s="48" t="n">
        <v>125000</v>
      </c>
      <c r="H144" s="49" t="n">
        <v>1</v>
      </c>
      <c r="I144" s="49" t="n">
        <v>1</v>
      </c>
      <c r="J144" s="50" t="n">
        <v>125000</v>
      </c>
      <c r="K144" s="44" t="n">
        <v>0</v>
      </c>
      <c r="L144" s="48" t="n">
        <v>0</v>
      </c>
      <c r="M144" s="48" t="n">
        <v>0</v>
      </c>
      <c r="N144" s="48" t="n">
        <v>0</v>
      </c>
      <c r="O144" s="48" t="n">
        <v>0</v>
      </c>
      <c r="P144" s="48" t="n">
        <v>0</v>
      </c>
      <c r="Q144" s="50" t="n">
        <v>0</v>
      </c>
      <c r="R144" s="49" t="n">
        <v>0</v>
      </c>
      <c r="S144" s="50" t="n">
        <v>0</v>
      </c>
      <c r="T144" s="48" t="n">
        <v>125000</v>
      </c>
      <c r="U144" s="51" t="n">
        <v>1</v>
      </c>
      <c r="V144" s="51" t="n">
        <v>0</v>
      </c>
      <c r="W144" s="51" t="n">
        <v>0</v>
      </c>
      <c r="X144" s="40" t="n"/>
      <c r="Y144" s="45" t="n"/>
      <c r="Z144" s="45" t="inlineStr">
        <is>
          <t>SIM</t>
        </is>
      </c>
    </row>
    <row r="145">
      <c r="A145" s="45" t="inlineStr">
        <is>
          <t>71/ALVLT</t>
        </is>
      </c>
      <c r="B145" s="45" t="inlineStr">
        <is>
          <t>SPE RESIDENCIAL OURILANDIA LTDA</t>
        </is>
      </c>
      <c r="C145" s="45" t="inlineStr">
        <is>
          <t>216</t>
        </is>
      </c>
      <c r="D145" s="45" t="inlineStr">
        <is>
          <t>SICOOB - SISTEMA DE COOPERATIVA DE CREDITO DO BRASIL</t>
        </is>
      </c>
      <c r="E145" s="46" t="n"/>
      <c r="F145" s="47" t="inlineStr">
        <is>
          <t>QUITADO</t>
        </is>
      </c>
      <c r="G145" s="48" t="n">
        <v>50000</v>
      </c>
      <c r="H145" s="49" t="n">
        <v>1</v>
      </c>
      <c r="I145" s="49" t="n">
        <v>1</v>
      </c>
      <c r="J145" s="50" t="n">
        <v>50000</v>
      </c>
      <c r="K145" s="44" t="n">
        <v>0</v>
      </c>
      <c r="L145" s="48" t="n">
        <v>0</v>
      </c>
      <c r="M145" s="48" t="n">
        <v>0</v>
      </c>
      <c r="N145" s="48" t="n">
        <v>0</v>
      </c>
      <c r="O145" s="48" t="n">
        <v>0</v>
      </c>
      <c r="P145" s="48" t="n">
        <v>0</v>
      </c>
      <c r="Q145" s="50" t="n">
        <v>0</v>
      </c>
      <c r="R145" s="49" t="n">
        <v>0</v>
      </c>
      <c r="S145" s="50" t="n">
        <v>0</v>
      </c>
      <c r="T145" s="48" t="n">
        <v>50000</v>
      </c>
      <c r="U145" s="51" t="n">
        <v>1</v>
      </c>
      <c r="V145" s="51" t="n">
        <v>0</v>
      </c>
      <c r="W145" s="51" t="n">
        <v>0</v>
      </c>
      <c r="X145" s="40" t="n"/>
      <c r="Y145" s="45" t="n"/>
      <c r="Z145" s="45" t="inlineStr">
        <is>
          <t>SIM</t>
        </is>
      </c>
    </row>
    <row r="146">
      <c r="A146" s="18" t="inlineStr">
        <is>
          <t>71/ALVLT</t>
        </is>
      </c>
      <c r="B146" s="18" t="inlineStr">
        <is>
          <t>SPE RESIDENCIAL OURILANDIA LTDA</t>
        </is>
      </c>
      <c r="C146" s="18" t="inlineStr">
        <is>
          <t>219</t>
        </is>
      </c>
      <c r="D146" s="18" t="inlineStr">
        <is>
          <t>PRIMEIRA IGREJA PRESBITERIANA DO BRASIL EM OURILANDIA DO NORTE</t>
        </is>
      </c>
      <c r="E146" s="25" t="inlineStr">
        <is>
          <t>QUADRA 34/LOTE 27</t>
        </is>
      </c>
      <c r="F146" s="43" t="inlineStr">
        <is>
          <t>QUITADO</t>
        </is>
      </c>
      <c r="G146" s="22" t="n">
        <v>20400</v>
      </c>
      <c r="H146" s="20" t="n">
        <v>1</v>
      </c>
      <c r="I146" s="20" t="n">
        <v>1</v>
      </c>
      <c r="J146" s="21" t="n">
        <v>20400</v>
      </c>
      <c r="K146" s="44" t="n">
        <v>0</v>
      </c>
      <c r="L146" s="22" t="n">
        <v>0</v>
      </c>
      <c r="M146" s="22" t="n">
        <v>0</v>
      </c>
      <c r="N146" s="22" t="n">
        <v>0</v>
      </c>
      <c r="O146" s="22" t="n">
        <v>0</v>
      </c>
      <c r="P146" s="22" t="n">
        <v>0</v>
      </c>
      <c r="Q146" s="21" t="n">
        <v>0</v>
      </c>
      <c r="R146" s="20" t="n">
        <v>0</v>
      </c>
      <c r="S146" s="21" t="n">
        <v>0</v>
      </c>
      <c r="T146" s="22" t="n">
        <v>20400</v>
      </c>
      <c r="U146" s="23" t="n">
        <v>1</v>
      </c>
      <c r="V146" s="23" t="n">
        <v>0</v>
      </c>
      <c r="W146" s="23" t="n">
        <v>0</v>
      </c>
      <c r="X146" s="40" t="n"/>
      <c r="Y146" s="18" t="n"/>
      <c r="Z146" s="18" t="inlineStr">
        <is>
          <t>NÃO</t>
        </is>
      </c>
    </row>
    <row r="147">
      <c r="A147" s="18" t="inlineStr">
        <is>
          <t>71/ALVLT</t>
        </is>
      </c>
      <c r="B147" s="18" t="inlineStr">
        <is>
          <t>SPE RESIDENCIAL OURILANDIA LTDA</t>
        </is>
      </c>
      <c r="C147" s="18" t="inlineStr">
        <is>
          <t>22</t>
        </is>
      </c>
      <c r="D147" s="18" t="inlineStr">
        <is>
          <t>ZENILDA BISPO MARINHO</t>
        </is>
      </c>
      <c r="E147" s="25" t="inlineStr">
        <is>
          <t>QUADRA 16/LOTE 03 PER ODO POR RECEBIMENTO: 01/01/2001 A 31/12/2060</t>
        </is>
      </c>
      <c r="F147" s="43" t="inlineStr">
        <is>
          <t>QUITADO</t>
        </is>
      </c>
      <c r="G147" s="22" t="n">
        <v>0</v>
      </c>
      <c r="H147" s="20" t="n">
        <v>120</v>
      </c>
      <c r="I147" s="20" t="n">
        <v>2</v>
      </c>
      <c r="J147" s="21" t="n">
        <v>333.32</v>
      </c>
      <c r="K147" s="44" t="n">
        <v>0</v>
      </c>
      <c r="L147" s="22" t="n">
        <v>0</v>
      </c>
      <c r="M147" s="22" t="n">
        <v>0</v>
      </c>
      <c r="N147" s="22" t="n">
        <v>0</v>
      </c>
      <c r="O147" s="22" t="n">
        <v>0</v>
      </c>
      <c r="P147" s="22" t="n">
        <v>0</v>
      </c>
      <c r="Q147" s="21" t="n">
        <v>0</v>
      </c>
      <c r="R147" s="20" t="n">
        <v>0</v>
      </c>
      <c r="S147" s="21" t="n">
        <v>0</v>
      </c>
      <c r="T147" s="22" t="n">
        <v>333.32</v>
      </c>
      <c r="U147" s="23" t="n">
        <v>1</v>
      </c>
      <c r="V147" s="23" t="n">
        <v>0</v>
      </c>
      <c r="W147" s="23" t="n">
        <v>0</v>
      </c>
      <c r="X147" s="40" t="n"/>
      <c r="Y147" s="18" t="n"/>
      <c r="Z147" s="18" t="inlineStr">
        <is>
          <t>NÃO</t>
        </is>
      </c>
    </row>
    <row r="148">
      <c r="A148" s="18" t="inlineStr">
        <is>
          <t>71/ALVLT</t>
        </is>
      </c>
      <c r="B148" s="18" t="inlineStr">
        <is>
          <t>SPE RESIDENCIAL OURILANDIA LTDA</t>
        </is>
      </c>
      <c r="C148" s="18" t="inlineStr">
        <is>
          <t>220</t>
        </is>
      </c>
      <c r="D148" s="18" t="inlineStr">
        <is>
          <t>PRIMEIRA IGREJA PRESBITERIANA DO BRASIL EM OURILANDIA DO NORTE</t>
        </is>
      </c>
      <c r="E148" s="25" t="inlineStr">
        <is>
          <t>QUADRA 34/LOTE 28</t>
        </is>
      </c>
      <c r="F148" s="43" t="inlineStr">
        <is>
          <t>QUITADO</t>
        </is>
      </c>
      <c r="G148" s="22" t="n">
        <v>20400</v>
      </c>
      <c r="H148" s="20" t="n">
        <v>1</v>
      </c>
      <c r="I148" s="20" t="n">
        <v>1</v>
      </c>
      <c r="J148" s="21" t="n">
        <v>20400</v>
      </c>
      <c r="K148" s="44" t="n">
        <v>0</v>
      </c>
      <c r="L148" s="22" t="n">
        <v>0</v>
      </c>
      <c r="M148" s="22" t="n">
        <v>0</v>
      </c>
      <c r="N148" s="22" t="n">
        <v>0</v>
      </c>
      <c r="O148" s="22" t="n">
        <v>0</v>
      </c>
      <c r="P148" s="22" t="n">
        <v>0</v>
      </c>
      <c r="Q148" s="21" t="n">
        <v>0</v>
      </c>
      <c r="R148" s="20" t="n">
        <v>0</v>
      </c>
      <c r="S148" s="21" t="n">
        <v>0</v>
      </c>
      <c r="T148" s="22" t="n">
        <v>20400</v>
      </c>
      <c r="U148" s="23" t="n">
        <v>1</v>
      </c>
      <c r="V148" s="23" t="n">
        <v>0</v>
      </c>
      <c r="W148" s="23" t="n">
        <v>0</v>
      </c>
      <c r="X148" s="40" t="n"/>
      <c r="Y148" s="18" t="n"/>
      <c r="Z148" s="18" t="inlineStr">
        <is>
          <t>NÃO</t>
        </is>
      </c>
    </row>
    <row r="149">
      <c r="A149" s="18" t="inlineStr">
        <is>
          <t>71/ALVLT</t>
        </is>
      </c>
      <c r="B149" s="18" t="inlineStr">
        <is>
          <t>SPE RESIDENCIAL OURILANDIA LTDA</t>
        </is>
      </c>
      <c r="C149" s="18" t="inlineStr">
        <is>
          <t>221</t>
        </is>
      </c>
      <c r="D149" s="18" t="inlineStr">
        <is>
          <t>JOSIMAR SANTANA DE SOUSA</t>
        </is>
      </c>
      <c r="E149" s="25" t="inlineStr">
        <is>
          <t>QUADRA 21/LOTE 25</t>
        </is>
      </c>
      <c r="F149" s="52" t="inlineStr">
        <is>
          <t>ADIMPLENTE</t>
        </is>
      </c>
      <c r="G149" s="22" t="n">
        <v>500</v>
      </c>
      <c r="H149" s="20" t="n">
        <v>48</v>
      </c>
      <c r="I149" s="20" t="n">
        <v>20</v>
      </c>
      <c r="J149" s="21" t="n">
        <v>10242.84</v>
      </c>
      <c r="K149" s="44" t="n">
        <v>0</v>
      </c>
      <c r="L149" s="22" t="n">
        <v>0</v>
      </c>
      <c r="M149" s="22" t="n">
        <v>0</v>
      </c>
      <c r="N149" s="22" t="n">
        <v>0</v>
      </c>
      <c r="O149" s="22" t="n">
        <v>0</v>
      </c>
      <c r="P149" s="22" t="n">
        <v>0</v>
      </c>
      <c r="Q149" s="21" t="n">
        <v>0</v>
      </c>
      <c r="R149" s="20" t="n">
        <v>28</v>
      </c>
      <c r="S149" s="21" t="n">
        <v>16554.16</v>
      </c>
      <c r="T149" s="22" t="n">
        <v>26797</v>
      </c>
      <c r="U149" s="23" t="n">
        <v>0.382238</v>
      </c>
      <c r="V149" s="23" t="n">
        <v>0</v>
      </c>
      <c r="W149" s="23" t="n">
        <v>0.617762</v>
      </c>
      <c r="X149" s="40" t="n">
        <v>30</v>
      </c>
      <c r="Y149" s="18" t="n"/>
      <c r="Z149" s="18" t="inlineStr">
        <is>
          <t>NÃO</t>
        </is>
      </c>
    </row>
    <row r="150">
      <c r="A150" s="18" t="inlineStr">
        <is>
          <t>71/ALVLT</t>
        </is>
      </c>
      <c r="B150" s="18" t="inlineStr">
        <is>
          <t>SPE RESIDENCIAL OURILANDIA LTDA</t>
        </is>
      </c>
      <c r="C150" s="18" t="inlineStr">
        <is>
          <t>226</t>
        </is>
      </c>
      <c r="D150" s="18" t="inlineStr">
        <is>
          <t>VANESSA BARBOSA SILVA</t>
        </is>
      </c>
      <c r="E150" s="25" t="inlineStr">
        <is>
          <t>QUADRA 21/LOTE 31</t>
        </is>
      </c>
      <c r="F150" s="43" t="inlineStr">
        <is>
          <t>QUITADO</t>
        </is>
      </c>
      <c r="G150" s="22" t="n">
        <v>0</v>
      </c>
      <c r="H150" s="20" t="n">
        <v>72</v>
      </c>
      <c r="I150" s="20" t="n">
        <v>11</v>
      </c>
      <c r="J150" s="21" t="n">
        <v>5543.78</v>
      </c>
      <c r="K150" s="44" t="n">
        <v>0</v>
      </c>
      <c r="L150" s="22" t="n">
        <v>0</v>
      </c>
      <c r="M150" s="22" t="n">
        <v>0</v>
      </c>
      <c r="N150" s="22" t="n">
        <v>0</v>
      </c>
      <c r="O150" s="22" t="n">
        <v>0</v>
      </c>
      <c r="P150" s="22" t="n">
        <v>0</v>
      </c>
      <c r="Q150" s="21" t="n">
        <v>0</v>
      </c>
      <c r="R150" s="20" t="n">
        <v>0</v>
      </c>
      <c r="S150" s="21" t="n">
        <v>0</v>
      </c>
      <c r="T150" s="22" t="n">
        <v>5543.78</v>
      </c>
      <c r="U150" s="23" t="n">
        <v>1</v>
      </c>
      <c r="V150" s="23" t="n">
        <v>0</v>
      </c>
      <c r="W150" s="23" t="n">
        <v>0</v>
      </c>
      <c r="X150" s="40" t="n"/>
      <c r="Y150" s="18" t="n"/>
      <c r="Z150" s="18" t="inlineStr">
        <is>
          <t>NÃO</t>
        </is>
      </c>
    </row>
    <row r="151">
      <c r="A151" s="18" t="inlineStr">
        <is>
          <t>71/ALVLT</t>
        </is>
      </c>
      <c r="B151" s="18" t="inlineStr">
        <is>
          <t>SPE RESIDENCIAL OURILANDIA LTDA</t>
        </is>
      </c>
      <c r="C151" s="18" t="inlineStr">
        <is>
          <t>228</t>
        </is>
      </c>
      <c r="D151" s="18" t="inlineStr">
        <is>
          <t>HWASKAR FAGUNDES</t>
        </is>
      </c>
      <c r="E151" s="25" t="n"/>
      <c r="F151" s="43" t="inlineStr">
        <is>
          <t>QUITADO</t>
        </is>
      </c>
      <c r="G151" s="22" t="n">
        <v>150000</v>
      </c>
      <c r="H151" s="20" t="n">
        <v>1</v>
      </c>
      <c r="I151" s="20" t="n">
        <v>1</v>
      </c>
      <c r="J151" s="21" t="n">
        <v>150000</v>
      </c>
      <c r="K151" s="44" t="n">
        <v>0</v>
      </c>
      <c r="L151" s="22" t="n">
        <v>0</v>
      </c>
      <c r="M151" s="22" t="n">
        <v>0</v>
      </c>
      <c r="N151" s="22" t="n">
        <v>0</v>
      </c>
      <c r="O151" s="22" t="n">
        <v>0</v>
      </c>
      <c r="P151" s="22" t="n">
        <v>0</v>
      </c>
      <c r="Q151" s="21" t="n">
        <v>0</v>
      </c>
      <c r="R151" s="20" t="n">
        <v>0</v>
      </c>
      <c r="S151" s="21" t="n">
        <v>0</v>
      </c>
      <c r="T151" s="22" t="n">
        <v>150000</v>
      </c>
      <c r="U151" s="23" t="n">
        <v>1</v>
      </c>
      <c r="V151" s="23" t="n">
        <v>0</v>
      </c>
      <c r="W151" s="23" t="n">
        <v>0</v>
      </c>
      <c r="X151" s="40" t="n"/>
      <c r="Y151" s="18" t="n"/>
      <c r="Z151" s="18" t="inlineStr">
        <is>
          <t>NÃO</t>
        </is>
      </c>
    </row>
    <row r="152">
      <c r="A152" s="18" t="inlineStr">
        <is>
          <t>71/ALVLT</t>
        </is>
      </c>
      <c r="B152" s="18" t="inlineStr">
        <is>
          <t>SPE RESIDENCIAL OURILANDIA LTDA</t>
        </is>
      </c>
      <c r="C152" s="18" t="inlineStr">
        <is>
          <t>23</t>
        </is>
      </c>
      <c r="D152" s="18" t="inlineStr">
        <is>
          <t>CARLOS ANDRE DOS SANTOS VORMOCA</t>
        </is>
      </c>
      <c r="E152" s="25" t="inlineStr">
        <is>
          <t>QUADRA 16/LOTE 01</t>
        </is>
      </c>
      <c r="F152" s="43" t="inlineStr">
        <is>
          <t>QUITADO</t>
        </is>
      </c>
      <c r="G152" s="22" t="n">
        <v>0</v>
      </c>
      <c r="H152" s="20" t="n">
        <v>120</v>
      </c>
      <c r="I152" s="20" t="n">
        <v>2</v>
      </c>
      <c r="J152" s="21" t="n">
        <v>416.66</v>
      </c>
      <c r="K152" s="44" t="n">
        <v>0</v>
      </c>
      <c r="L152" s="22" t="n">
        <v>0</v>
      </c>
      <c r="M152" s="22" t="n">
        <v>0</v>
      </c>
      <c r="N152" s="22" t="n">
        <v>0</v>
      </c>
      <c r="O152" s="22" t="n">
        <v>0</v>
      </c>
      <c r="P152" s="22" t="n">
        <v>0</v>
      </c>
      <c r="Q152" s="21" t="n">
        <v>0</v>
      </c>
      <c r="R152" s="20" t="n">
        <v>0</v>
      </c>
      <c r="S152" s="21" t="n">
        <v>0</v>
      </c>
      <c r="T152" s="22" t="n">
        <v>416.66</v>
      </c>
      <c r="U152" s="23" t="n">
        <v>1</v>
      </c>
      <c r="V152" s="23" t="n">
        <v>0</v>
      </c>
      <c r="W152" s="23" t="n">
        <v>0</v>
      </c>
      <c r="X152" s="40" t="n"/>
      <c r="Y152" s="18" t="n"/>
      <c r="Z152" s="18" t="inlineStr">
        <is>
          <t>NÃO</t>
        </is>
      </c>
    </row>
    <row r="153">
      <c r="A153" s="18" t="inlineStr">
        <is>
          <t>71/ALVLT</t>
        </is>
      </c>
      <c r="B153" s="18" t="inlineStr">
        <is>
          <t>SPE RESIDENCIAL OURILANDIA LTDA</t>
        </is>
      </c>
      <c r="C153" s="18" t="inlineStr">
        <is>
          <t>230</t>
        </is>
      </c>
      <c r="D153" s="18" t="inlineStr">
        <is>
          <t>KEVILLEM RUTHY LACERDA DE SOUSA</t>
        </is>
      </c>
      <c r="E153" s="25" t="inlineStr">
        <is>
          <t>QUADRA 33/LOTE 13</t>
        </is>
      </c>
      <c r="F153" s="52" t="inlineStr">
        <is>
          <t>ADIMPLENTE</t>
        </is>
      </c>
      <c r="G153" s="22" t="n">
        <v>580.66</v>
      </c>
      <c r="H153" s="20" t="n">
        <v>60</v>
      </c>
      <c r="I153" s="20" t="n">
        <v>14</v>
      </c>
      <c r="J153" s="21" t="n">
        <v>8493.84</v>
      </c>
      <c r="K153" s="44" t="n">
        <v>0</v>
      </c>
      <c r="L153" s="22" t="n">
        <v>0</v>
      </c>
      <c r="M153" s="22" t="n">
        <v>0</v>
      </c>
      <c r="N153" s="22" t="n">
        <v>0</v>
      </c>
      <c r="O153" s="22" t="n">
        <v>0</v>
      </c>
      <c r="P153" s="22" t="n">
        <v>0</v>
      </c>
      <c r="Q153" s="21" t="n">
        <v>0</v>
      </c>
      <c r="R153" s="20" t="n">
        <v>47</v>
      </c>
      <c r="S153" s="21" t="n">
        <v>30135.93</v>
      </c>
      <c r="T153" s="22" t="n">
        <v>38629.77</v>
      </c>
      <c r="U153" s="23" t="n">
        <v>0.219878</v>
      </c>
      <c r="V153" s="23" t="n">
        <v>0</v>
      </c>
      <c r="W153" s="23" t="n">
        <v>0.780122</v>
      </c>
      <c r="X153" s="40" t="n">
        <v>10</v>
      </c>
      <c r="Y153" s="18" t="n"/>
      <c r="Z153" s="18" t="inlineStr">
        <is>
          <t>NÃO</t>
        </is>
      </c>
    </row>
    <row r="154">
      <c r="A154" s="18" t="inlineStr">
        <is>
          <t>71/ALVLT</t>
        </is>
      </c>
      <c r="B154" s="18" t="inlineStr">
        <is>
          <t>SPE RESIDENCIAL OURILANDIA LTDA</t>
        </is>
      </c>
      <c r="C154" s="18" t="inlineStr">
        <is>
          <t>231</t>
        </is>
      </c>
      <c r="D154" s="18" t="inlineStr">
        <is>
          <t>MIRIAN PEREIRA DOS SANTOS</t>
        </is>
      </c>
      <c r="E154" s="25" t="inlineStr">
        <is>
          <t>QUADRA 33/LOTE 15</t>
        </is>
      </c>
      <c r="F154" s="52" t="inlineStr">
        <is>
          <t>ADIMPLENTE</t>
        </is>
      </c>
      <c r="G154" s="22" t="n">
        <v>497.78</v>
      </c>
      <c r="H154" s="20" t="n">
        <v>72</v>
      </c>
      <c r="I154" s="20" t="n">
        <v>13</v>
      </c>
      <c r="J154" s="21" t="n">
        <v>6295.549999999999</v>
      </c>
      <c r="K154" s="44" t="n">
        <v>0</v>
      </c>
      <c r="L154" s="22" t="n">
        <v>0</v>
      </c>
      <c r="M154" s="22" t="n">
        <v>0</v>
      </c>
      <c r="N154" s="22" t="n">
        <v>0</v>
      </c>
      <c r="O154" s="22" t="n">
        <v>0</v>
      </c>
      <c r="P154" s="22" t="n">
        <v>0</v>
      </c>
      <c r="Q154" s="21" t="n">
        <v>0</v>
      </c>
      <c r="R154" s="20" t="n">
        <v>59</v>
      </c>
      <c r="S154" s="21" t="n">
        <v>32430.53</v>
      </c>
      <c r="T154" s="22" t="n">
        <v>38726.08</v>
      </c>
      <c r="U154" s="23" t="n">
        <v>0.162566</v>
      </c>
      <c r="V154" s="23" t="n">
        <v>0</v>
      </c>
      <c r="W154" s="23" t="n">
        <v>0.837434</v>
      </c>
      <c r="X154" s="40" t="n">
        <v>5</v>
      </c>
      <c r="Y154" s="18" t="n"/>
      <c r="Z154" s="18" t="inlineStr">
        <is>
          <t>NÃO</t>
        </is>
      </c>
    </row>
    <row r="155">
      <c r="A155" s="18" t="inlineStr">
        <is>
          <t>71/ALVLT</t>
        </is>
      </c>
      <c r="B155" s="18" t="inlineStr">
        <is>
          <t>SPE RESIDENCIAL OURILANDIA LTDA</t>
        </is>
      </c>
      <c r="C155" s="18" t="inlineStr">
        <is>
          <t>232</t>
        </is>
      </c>
      <c r="D155" s="18" t="inlineStr">
        <is>
          <t>HEMILI MIDIAN DOS SANTOS RODRIGUES</t>
        </is>
      </c>
      <c r="E155" s="25" t="inlineStr">
        <is>
          <t>QUADRA 33/LOTE 12</t>
        </is>
      </c>
      <c r="F155" s="52" t="inlineStr">
        <is>
          <t>ADIMPLENTE</t>
        </is>
      </c>
      <c r="G155" s="22" t="n">
        <v>497.78</v>
      </c>
      <c r="H155" s="20" t="n">
        <v>72</v>
      </c>
      <c r="I155" s="20" t="n">
        <v>13</v>
      </c>
      <c r="J155" s="21" t="n">
        <v>6289.36</v>
      </c>
      <c r="K155" s="44" t="n">
        <v>0</v>
      </c>
      <c r="L155" s="22" t="n">
        <v>0</v>
      </c>
      <c r="M155" s="22" t="n">
        <v>0</v>
      </c>
      <c r="N155" s="22" t="n">
        <v>0</v>
      </c>
      <c r="O155" s="22" t="n">
        <v>0</v>
      </c>
      <c r="P155" s="22" t="n">
        <v>0</v>
      </c>
      <c r="Q155" s="21" t="n">
        <v>0</v>
      </c>
      <c r="R155" s="20" t="n">
        <v>59</v>
      </c>
      <c r="S155" s="21" t="n">
        <v>32430.53</v>
      </c>
      <c r="T155" s="22" t="n">
        <v>38719.89</v>
      </c>
      <c r="U155" s="23" t="n">
        <v>0.162432</v>
      </c>
      <c r="V155" s="23" t="n">
        <v>0</v>
      </c>
      <c r="W155" s="23" t="n">
        <v>0.837568</v>
      </c>
      <c r="X155" s="40" t="n">
        <v>15</v>
      </c>
      <c r="Y155" s="18" t="n"/>
      <c r="Z155" s="18" t="inlineStr">
        <is>
          <t>NÃO</t>
        </is>
      </c>
    </row>
    <row r="156">
      <c r="A156" s="18" t="inlineStr">
        <is>
          <t>71/ALVLT</t>
        </is>
      </c>
      <c r="B156" s="18" t="inlineStr">
        <is>
          <t>SPE RESIDENCIAL OURILANDIA LTDA</t>
        </is>
      </c>
      <c r="C156" s="18" t="inlineStr">
        <is>
          <t>233</t>
        </is>
      </c>
      <c r="D156" s="18" t="inlineStr">
        <is>
          <t>CICERA ALVES DA SILVA</t>
        </is>
      </c>
      <c r="E156" s="25" t="inlineStr">
        <is>
          <t>QUADRA 34/LOTE 36</t>
        </is>
      </c>
      <c r="F156" s="52" t="inlineStr">
        <is>
          <t>ADIMPLENTE</t>
        </is>
      </c>
      <c r="G156" s="22" t="n">
        <v>597.33</v>
      </c>
      <c r="H156" s="20" t="n">
        <v>60</v>
      </c>
      <c r="I156" s="20" t="n">
        <v>12</v>
      </c>
      <c r="J156" s="21" t="n">
        <v>6980.860000000001</v>
      </c>
      <c r="K156" s="44" t="n">
        <v>0</v>
      </c>
      <c r="L156" s="22" t="n">
        <v>0</v>
      </c>
      <c r="M156" s="22" t="n">
        <v>0</v>
      </c>
      <c r="N156" s="22" t="n">
        <v>0</v>
      </c>
      <c r="O156" s="22" t="n">
        <v>0</v>
      </c>
      <c r="P156" s="22" t="n">
        <v>0</v>
      </c>
      <c r="Q156" s="21" t="n">
        <v>0</v>
      </c>
      <c r="R156" s="20" t="n">
        <v>48</v>
      </c>
      <c r="S156" s="21" t="n">
        <v>31328.64</v>
      </c>
      <c r="T156" s="22" t="n">
        <v>38309.5</v>
      </c>
      <c r="U156" s="23" t="n">
        <v>0.182223</v>
      </c>
      <c r="V156" s="23" t="n">
        <v>0</v>
      </c>
      <c r="W156" s="23" t="n">
        <v>0.817777</v>
      </c>
      <c r="X156" s="40" t="n">
        <v>6</v>
      </c>
      <c r="Y156" s="18" t="n"/>
      <c r="Z156" s="18" t="inlineStr">
        <is>
          <t>NÃO</t>
        </is>
      </c>
    </row>
    <row r="157">
      <c r="A157" s="18" t="inlineStr">
        <is>
          <t>71/ALVLT</t>
        </is>
      </c>
      <c r="B157" s="18" t="inlineStr">
        <is>
          <t>SPE RESIDENCIAL OURILANDIA LTDA</t>
        </is>
      </c>
      <c r="C157" s="18" t="inlineStr">
        <is>
          <t>236</t>
        </is>
      </c>
      <c r="D157" s="18" t="inlineStr">
        <is>
          <t>NALDA CRITINA MENDANHA</t>
        </is>
      </c>
      <c r="E157" s="25" t="inlineStr">
        <is>
          <t>QUADRA 34/LOTE 34</t>
        </is>
      </c>
      <c r="F157" s="52" t="inlineStr">
        <is>
          <t>ADIMPLENTE</t>
        </is>
      </c>
      <c r="G157" s="22" t="n">
        <v>497.78</v>
      </c>
      <c r="H157" s="20" t="n">
        <v>72</v>
      </c>
      <c r="I157" s="20" t="n">
        <v>10</v>
      </c>
      <c r="J157" s="21" t="n">
        <v>4977.799999999999</v>
      </c>
      <c r="K157" s="44" t="n">
        <v>0</v>
      </c>
      <c r="L157" s="22" t="n">
        <v>0</v>
      </c>
      <c r="M157" s="22" t="n">
        <v>0</v>
      </c>
      <c r="N157" s="22" t="n">
        <v>0</v>
      </c>
      <c r="O157" s="22" t="n">
        <v>0</v>
      </c>
      <c r="P157" s="22" t="n">
        <v>0</v>
      </c>
      <c r="Q157" s="21" t="n">
        <v>0</v>
      </c>
      <c r="R157" s="20" t="n">
        <v>62</v>
      </c>
      <c r="S157" s="21" t="n">
        <v>30862.36</v>
      </c>
      <c r="T157" s="22" t="n">
        <v>35840.16</v>
      </c>
      <c r="U157" s="23" t="n">
        <v>0.138889</v>
      </c>
      <c r="V157" s="23" t="n">
        <v>0</v>
      </c>
      <c r="W157" s="23" t="n">
        <v>0.861111</v>
      </c>
      <c r="X157" s="40" t="n">
        <v>6</v>
      </c>
      <c r="Y157" s="18" t="n"/>
      <c r="Z157" s="18" t="inlineStr">
        <is>
          <t>NÃO</t>
        </is>
      </c>
    </row>
    <row r="158">
      <c r="A158" s="18" t="inlineStr">
        <is>
          <t>71/ALVLT</t>
        </is>
      </c>
      <c r="B158" s="18" t="inlineStr">
        <is>
          <t>SPE RESIDENCIAL OURILANDIA LTDA</t>
        </is>
      </c>
      <c r="C158" s="18" t="inlineStr">
        <is>
          <t>238</t>
        </is>
      </c>
      <c r="D158" s="18" t="inlineStr">
        <is>
          <t>MATEUS GABRIEL DA SILVA DUARTE</t>
        </is>
      </c>
      <c r="E158" s="25" t="inlineStr">
        <is>
          <t>QUADRA 34/LOTE 32</t>
        </is>
      </c>
      <c r="F158" s="52" t="inlineStr">
        <is>
          <t>ADIMPLENTE</t>
        </is>
      </c>
      <c r="G158" s="22" t="n">
        <v>497.78</v>
      </c>
      <c r="H158" s="20" t="n">
        <v>72</v>
      </c>
      <c r="I158" s="20" t="n">
        <v>9</v>
      </c>
      <c r="J158" s="21" t="n">
        <v>4501.28</v>
      </c>
      <c r="K158" s="44" t="n">
        <v>0</v>
      </c>
      <c r="L158" s="22" t="n">
        <v>0</v>
      </c>
      <c r="M158" s="22" t="n">
        <v>0</v>
      </c>
      <c r="N158" s="22" t="n">
        <v>0</v>
      </c>
      <c r="O158" s="22" t="n">
        <v>0</v>
      </c>
      <c r="P158" s="22" t="n">
        <v>0</v>
      </c>
      <c r="Q158" s="21" t="n">
        <v>0</v>
      </c>
      <c r="R158" s="20" t="n">
        <v>63</v>
      </c>
      <c r="S158" s="21" t="n">
        <v>31360.14</v>
      </c>
      <c r="T158" s="22" t="n">
        <v>35861.42</v>
      </c>
      <c r="U158" s="23" t="n">
        <v>0.125519</v>
      </c>
      <c r="V158" s="23" t="n">
        <v>0</v>
      </c>
      <c r="W158" s="23" t="n">
        <v>0.874481</v>
      </c>
      <c r="X158" s="40" t="n">
        <v>13</v>
      </c>
      <c r="Y158" s="18" t="n"/>
      <c r="Z158" s="18" t="inlineStr">
        <is>
          <t>NÃO</t>
        </is>
      </c>
    </row>
    <row r="159">
      <c r="A159" s="18" t="inlineStr">
        <is>
          <t>71/ALVLT</t>
        </is>
      </c>
      <c r="B159" s="18" t="inlineStr">
        <is>
          <t>SPE RESIDENCIAL OURILANDIA LTDA</t>
        </is>
      </c>
      <c r="C159" s="18" t="inlineStr">
        <is>
          <t>240</t>
        </is>
      </c>
      <c r="D159" s="18" t="inlineStr">
        <is>
          <t>ANTONIO DA SILVA PAIV</t>
        </is>
      </c>
      <c r="E159" s="25" t="inlineStr">
        <is>
          <t>QUADRA 21/LOTE 23</t>
        </is>
      </c>
      <c r="F159" s="52" t="inlineStr">
        <is>
          <t>ADIMPLENTE</t>
        </is>
      </c>
      <c r="G159" s="22" t="n">
        <v>500</v>
      </c>
      <c r="H159" s="20" t="n">
        <v>48</v>
      </c>
      <c r="I159" s="20" t="n">
        <v>7</v>
      </c>
      <c r="J159" s="21" t="n">
        <v>3821.89</v>
      </c>
      <c r="K159" s="44" t="n">
        <v>0</v>
      </c>
      <c r="L159" s="22" t="n">
        <v>0</v>
      </c>
      <c r="M159" s="22" t="n">
        <v>0</v>
      </c>
      <c r="N159" s="22" t="n">
        <v>0</v>
      </c>
      <c r="O159" s="22" t="n">
        <v>0</v>
      </c>
      <c r="P159" s="22" t="n">
        <v>0</v>
      </c>
      <c r="Q159" s="21" t="n">
        <v>0</v>
      </c>
      <c r="R159" s="20" t="n">
        <v>22</v>
      </c>
      <c r="S159" s="21" t="n">
        <v>12145.32</v>
      </c>
      <c r="T159" s="22" t="n">
        <v>15967.21</v>
      </c>
      <c r="U159" s="23" t="n">
        <v>0.239359</v>
      </c>
      <c r="V159" s="23" t="n">
        <v>0</v>
      </c>
      <c r="W159" s="23" t="n">
        <v>0.760641</v>
      </c>
      <c r="X159" s="40" t="n">
        <v>10</v>
      </c>
      <c r="Y159" s="18" t="n"/>
      <c r="Z159" s="18" t="inlineStr">
        <is>
          <t>NÃO</t>
        </is>
      </c>
    </row>
    <row r="160">
      <c r="A160" s="18" t="inlineStr">
        <is>
          <t>71/ALVLT</t>
        </is>
      </c>
      <c r="B160" s="18" t="inlineStr">
        <is>
          <t>SPE RESIDENCIAL OURILANDIA LTDA</t>
        </is>
      </c>
      <c r="C160" s="18" t="inlineStr">
        <is>
          <t>241</t>
        </is>
      </c>
      <c r="D160" s="18" t="inlineStr">
        <is>
          <t>RAVILA FERREIRA DA SILVA</t>
        </is>
      </c>
      <c r="E160" s="25" t="inlineStr">
        <is>
          <t>QUADRA 34/LOTE 10</t>
        </is>
      </c>
      <c r="F160" s="52" t="inlineStr">
        <is>
          <t>ADIMPLENTE</t>
        </is>
      </c>
      <c r="G160" s="22" t="n">
        <v>625</v>
      </c>
      <c r="H160" s="20" t="n">
        <v>72</v>
      </c>
      <c r="I160" s="20" t="n">
        <v>6</v>
      </c>
      <c r="J160" s="21" t="n">
        <v>3783.4</v>
      </c>
      <c r="K160" s="44" t="n">
        <v>0</v>
      </c>
      <c r="L160" s="22" t="n">
        <v>0</v>
      </c>
      <c r="M160" s="22" t="n">
        <v>0</v>
      </c>
      <c r="N160" s="22" t="n">
        <v>0</v>
      </c>
      <c r="O160" s="22" t="n">
        <v>0</v>
      </c>
      <c r="P160" s="22" t="n">
        <v>0</v>
      </c>
      <c r="Q160" s="21" t="n">
        <v>0</v>
      </c>
      <c r="R160" s="20" t="n">
        <v>66</v>
      </c>
      <c r="S160" s="21" t="n">
        <v>41250</v>
      </c>
      <c r="T160" s="22" t="n">
        <v>45033.4</v>
      </c>
      <c r="U160" s="23" t="n">
        <v>0.084013</v>
      </c>
      <c r="V160" s="23" t="n">
        <v>0</v>
      </c>
      <c r="W160" s="23" t="n">
        <v>0.915987</v>
      </c>
      <c r="X160" s="40" t="n">
        <v>30</v>
      </c>
      <c r="Y160" s="18" t="n"/>
      <c r="Z160" s="18" t="inlineStr">
        <is>
          <t>NÃO</t>
        </is>
      </c>
    </row>
    <row r="161">
      <c r="A161" s="18" t="inlineStr">
        <is>
          <t>71/ALVLT</t>
        </is>
      </c>
      <c r="B161" s="18" t="inlineStr">
        <is>
          <t>SPE RESIDENCIAL OURILANDIA LTDA</t>
        </is>
      </c>
      <c r="C161" s="18" t="inlineStr">
        <is>
          <t>243</t>
        </is>
      </c>
      <c r="D161" s="18" t="inlineStr">
        <is>
          <t>CICERA ALVES DA SILVA</t>
        </is>
      </c>
      <c r="E161" s="25" t="inlineStr">
        <is>
          <t>QUADRA 34/LOTE 37</t>
        </is>
      </c>
      <c r="F161" s="52" t="inlineStr">
        <is>
          <t>ADIMPLENTE</t>
        </is>
      </c>
      <c r="G161" s="22" t="n">
        <v>740.33</v>
      </c>
      <c r="H161" s="20" t="n">
        <v>72</v>
      </c>
      <c r="I161" s="20" t="n">
        <v>4</v>
      </c>
      <c r="J161" s="21" t="n">
        <v>2900.77</v>
      </c>
      <c r="K161" s="44" t="n">
        <v>0</v>
      </c>
      <c r="L161" s="22" t="n">
        <v>0</v>
      </c>
      <c r="M161" s="22" t="n">
        <v>0</v>
      </c>
      <c r="N161" s="22" t="n">
        <v>0</v>
      </c>
      <c r="O161" s="22" t="n">
        <v>0</v>
      </c>
      <c r="P161" s="22" t="n">
        <v>0</v>
      </c>
      <c r="Q161" s="21" t="n">
        <v>0</v>
      </c>
      <c r="R161" s="20" t="n">
        <v>68</v>
      </c>
      <c r="S161" s="21" t="n">
        <v>50594.04</v>
      </c>
      <c r="T161" s="22" t="n">
        <v>53494.81</v>
      </c>
      <c r="U161" s="23" t="n">
        <v>0.054225</v>
      </c>
      <c r="V161" s="23" t="n">
        <v>0</v>
      </c>
      <c r="W161" s="23" t="n">
        <v>0.945775</v>
      </c>
      <c r="X161" s="40" t="n">
        <v>24</v>
      </c>
      <c r="Y161" s="18" t="n"/>
      <c r="Z161" s="18" t="inlineStr">
        <is>
          <t>NÃO</t>
        </is>
      </c>
    </row>
    <row r="162">
      <c r="A162" s="18" t="inlineStr">
        <is>
          <t>71/ALVLT</t>
        </is>
      </c>
      <c r="B162" s="18" t="inlineStr">
        <is>
          <t>SPE RESIDENCIAL OURILANDIA LTDA</t>
        </is>
      </c>
      <c r="C162" s="18" t="inlineStr">
        <is>
          <t>244</t>
        </is>
      </c>
      <c r="D162" s="18" t="inlineStr">
        <is>
          <t>ROGERIO MARQUES MARTINS</t>
        </is>
      </c>
      <c r="E162" s="25" t="inlineStr">
        <is>
          <t>QUADRA 06/LOTE 01</t>
        </is>
      </c>
      <c r="F162" s="52" t="inlineStr">
        <is>
          <t>ADIMPLENTE</t>
        </is>
      </c>
      <c r="G162" s="22" t="n">
        <v>457.85</v>
      </c>
      <c r="H162" s="20" t="n">
        <v>92</v>
      </c>
      <c r="I162" s="20" t="n">
        <v>2</v>
      </c>
      <c r="J162" s="21" t="n">
        <v>925.3</v>
      </c>
      <c r="K162" s="44" t="n">
        <v>0</v>
      </c>
      <c r="L162" s="22" t="n">
        <v>0</v>
      </c>
      <c r="M162" s="22" t="n">
        <v>0</v>
      </c>
      <c r="N162" s="22" t="n">
        <v>0</v>
      </c>
      <c r="O162" s="22" t="n">
        <v>0</v>
      </c>
      <c r="P162" s="22" t="n">
        <v>0</v>
      </c>
      <c r="Q162" s="21" t="n">
        <v>0</v>
      </c>
      <c r="R162" s="20" t="n">
        <v>87</v>
      </c>
      <c r="S162" s="21" t="n">
        <v>39832.95</v>
      </c>
      <c r="T162" s="22" t="n">
        <v>40758.25</v>
      </c>
      <c r="U162" s="23" t="n">
        <v>0.022702</v>
      </c>
      <c r="V162" s="23" t="n">
        <v>0</v>
      </c>
      <c r="W162" s="23" t="n">
        <v>0.977298</v>
      </c>
      <c r="X162" s="40" t="n">
        <v>28</v>
      </c>
      <c r="Y162" s="18" t="n"/>
      <c r="Z162" s="18" t="inlineStr">
        <is>
          <t>NÃO</t>
        </is>
      </c>
    </row>
    <row r="163">
      <c r="A163" s="18" t="inlineStr">
        <is>
          <t>71/ALVLT</t>
        </is>
      </c>
      <c r="B163" s="18" t="inlineStr">
        <is>
          <t>SPE RESIDENCIAL OURILANDIA LTDA</t>
        </is>
      </c>
      <c r="C163" s="18" t="inlineStr">
        <is>
          <t>245</t>
        </is>
      </c>
      <c r="D163" s="18" t="inlineStr">
        <is>
          <t>MEZAQUE DA SILVA DO ESPIRITO SANTO</t>
        </is>
      </c>
      <c r="E163" s="25" t="inlineStr">
        <is>
          <t>QUADRA 17/LOTE 13 TOTAL NO PER ODO: 01/01/2001 A 31/12/2060 4.696.880,73 4.276.358,91 4.696.880,73 0,00</t>
        </is>
      </c>
      <c r="F163" s="52" t="inlineStr">
        <is>
          <t>ADIMPLENTE</t>
        </is>
      </c>
      <c r="G163" s="22" t="n">
        <v>631.34</v>
      </c>
      <c r="H163" s="20" t="n">
        <v>72</v>
      </c>
      <c r="I163" s="20" t="n">
        <v>1</v>
      </c>
      <c r="J163" s="21" t="n">
        <v>644.17</v>
      </c>
      <c r="K163" s="44" t="n">
        <v>0</v>
      </c>
      <c r="L163" s="22" t="n">
        <v>0</v>
      </c>
      <c r="M163" s="22" t="n">
        <v>0</v>
      </c>
      <c r="N163" s="22" t="n">
        <v>0</v>
      </c>
      <c r="O163" s="22" t="n">
        <v>0</v>
      </c>
      <c r="P163" s="22" t="n">
        <v>0</v>
      </c>
      <c r="Q163" s="21" t="n">
        <v>0</v>
      </c>
      <c r="R163" s="20" t="n">
        <v>71</v>
      </c>
      <c r="S163" s="21" t="n">
        <v>53922.01</v>
      </c>
      <c r="T163" s="22" t="n">
        <v>54566.18</v>
      </c>
      <c r="U163" s="23" t="n">
        <v>0.011805</v>
      </c>
      <c r="V163" s="23" t="n">
        <v>0</v>
      </c>
      <c r="W163" s="23" t="n">
        <v>0.988195</v>
      </c>
      <c r="X163" s="40" t="n">
        <v>10</v>
      </c>
      <c r="Y163" s="18" t="n"/>
      <c r="Z163" s="18" t="inlineStr">
        <is>
          <t>NÃO</t>
        </is>
      </c>
    </row>
    <row r="164">
      <c r="A164" s="18" t="inlineStr">
        <is>
          <t>71/ALVLT</t>
        </is>
      </c>
      <c r="B164" s="18" t="inlineStr">
        <is>
          <t>SPE RESIDENCIAL OURILANDIA LTDA</t>
        </is>
      </c>
      <c r="C164" s="18" t="inlineStr">
        <is>
          <t>25</t>
        </is>
      </c>
      <c r="D164" s="18" t="inlineStr">
        <is>
          <t>GIOVANI MATOS DA SILVA</t>
        </is>
      </c>
      <c r="E164" s="25" t="inlineStr">
        <is>
          <t>QUADRA 25/LOTE 01</t>
        </is>
      </c>
      <c r="F164" s="43" t="inlineStr">
        <is>
          <t>QUITADO</t>
        </is>
      </c>
      <c r="G164" s="22" t="n">
        <v>0</v>
      </c>
      <c r="H164" s="20" t="n">
        <v>120</v>
      </c>
      <c r="I164" s="20" t="n">
        <v>10</v>
      </c>
      <c r="J164" s="21" t="n">
        <v>2553.14</v>
      </c>
      <c r="K164" s="44" t="n">
        <v>0</v>
      </c>
      <c r="L164" s="22" t="n">
        <v>0</v>
      </c>
      <c r="M164" s="22" t="n">
        <v>0</v>
      </c>
      <c r="N164" s="22" t="n">
        <v>0</v>
      </c>
      <c r="O164" s="22" t="n">
        <v>0</v>
      </c>
      <c r="P164" s="22" t="n">
        <v>0</v>
      </c>
      <c r="Q164" s="21" t="n">
        <v>0</v>
      </c>
      <c r="R164" s="20" t="n">
        <v>0</v>
      </c>
      <c r="S164" s="21" t="n">
        <v>0</v>
      </c>
      <c r="T164" s="22" t="n">
        <v>2553.14</v>
      </c>
      <c r="U164" s="23" t="n">
        <v>1</v>
      </c>
      <c r="V164" s="23" t="n">
        <v>0</v>
      </c>
      <c r="W164" s="23" t="n">
        <v>0</v>
      </c>
      <c r="X164" s="40" t="n"/>
      <c r="Y164" s="18" t="n"/>
      <c r="Z164" s="18" t="inlineStr">
        <is>
          <t>NÃO</t>
        </is>
      </c>
    </row>
    <row r="165">
      <c r="A165" s="18" t="inlineStr">
        <is>
          <t>71/ALVLT</t>
        </is>
      </c>
      <c r="B165" s="18" t="inlineStr">
        <is>
          <t>SPE RESIDENCIAL OURILANDIA LTDA</t>
        </is>
      </c>
      <c r="C165" s="18" t="inlineStr">
        <is>
          <t>3</t>
        </is>
      </c>
      <c r="D165" s="18" t="inlineStr">
        <is>
          <t>FABIO DO NASCIMENTO LOUREN O</t>
        </is>
      </c>
      <c r="E165" s="25" t="inlineStr">
        <is>
          <t>QUADRA 19/LOTE 01</t>
        </is>
      </c>
      <c r="F165" s="43" t="inlineStr">
        <is>
          <t>QUITADO</t>
        </is>
      </c>
      <c r="G165" s="22" t="n">
        <v>0</v>
      </c>
      <c r="H165" s="20" t="n">
        <v>120</v>
      </c>
      <c r="I165" s="20" t="n">
        <v>5</v>
      </c>
      <c r="J165" s="21" t="n">
        <v>622.9100000000001</v>
      </c>
      <c r="K165" s="44" t="n">
        <v>0</v>
      </c>
      <c r="L165" s="22" t="n">
        <v>0</v>
      </c>
      <c r="M165" s="22" t="n">
        <v>0</v>
      </c>
      <c r="N165" s="22" t="n">
        <v>0</v>
      </c>
      <c r="O165" s="22" t="n">
        <v>0</v>
      </c>
      <c r="P165" s="22" t="n">
        <v>0</v>
      </c>
      <c r="Q165" s="21" t="n">
        <v>0</v>
      </c>
      <c r="R165" s="20" t="n">
        <v>0</v>
      </c>
      <c r="S165" s="21" t="n">
        <v>0</v>
      </c>
      <c r="T165" s="22" t="n">
        <v>622.91</v>
      </c>
      <c r="U165" s="23" t="n">
        <v>1</v>
      </c>
      <c r="V165" s="23" t="n">
        <v>0</v>
      </c>
      <c r="W165" s="23" t="n">
        <v>0</v>
      </c>
      <c r="X165" s="40" t="n"/>
      <c r="Y165" s="18" t="n"/>
      <c r="Z165" s="18" t="inlineStr">
        <is>
          <t>NÃO</t>
        </is>
      </c>
    </row>
    <row r="166">
      <c r="A166" s="18" t="inlineStr">
        <is>
          <t>71/ALVLT</t>
        </is>
      </c>
      <c r="B166" s="18" t="inlineStr">
        <is>
          <t>SPE RESIDENCIAL OURILANDIA LTDA</t>
        </is>
      </c>
      <c r="C166" s="18" t="inlineStr">
        <is>
          <t>30</t>
        </is>
      </c>
      <c r="D166" s="18" t="inlineStr">
        <is>
          <t>MANOEL FARIAS DE SOUSA</t>
        </is>
      </c>
      <c r="E166" s="25" t="inlineStr">
        <is>
          <t>QUADRA 20/LOTE 02</t>
        </is>
      </c>
      <c r="F166" s="43" t="inlineStr">
        <is>
          <t>QUITADO</t>
        </is>
      </c>
      <c r="G166" s="22" t="n">
        <v>0</v>
      </c>
      <c r="H166" s="20" t="n">
        <v>121</v>
      </c>
      <c r="I166" s="20" t="n">
        <v>121</v>
      </c>
      <c r="J166" s="21" t="n">
        <v>31497</v>
      </c>
      <c r="K166" s="44" t="n">
        <v>0</v>
      </c>
      <c r="L166" s="22" t="n">
        <v>0</v>
      </c>
      <c r="M166" s="22" t="n">
        <v>0</v>
      </c>
      <c r="N166" s="22" t="n">
        <v>0</v>
      </c>
      <c r="O166" s="22" t="n">
        <v>0</v>
      </c>
      <c r="P166" s="22" t="n">
        <v>0</v>
      </c>
      <c r="Q166" s="21" t="n">
        <v>0</v>
      </c>
      <c r="R166" s="20" t="n">
        <v>0</v>
      </c>
      <c r="S166" s="21" t="n">
        <v>0</v>
      </c>
      <c r="T166" s="22" t="n">
        <v>31497</v>
      </c>
      <c r="U166" s="23" t="n">
        <v>1</v>
      </c>
      <c r="V166" s="23" t="n">
        <v>0</v>
      </c>
      <c r="W166" s="23" t="n">
        <v>0</v>
      </c>
      <c r="X166" s="40" t="n"/>
      <c r="Y166" s="18" t="n"/>
      <c r="Z166" s="18" t="inlineStr">
        <is>
          <t>NÃO</t>
        </is>
      </c>
    </row>
    <row r="167">
      <c r="A167" s="18" t="inlineStr">
        <is>
          <t>71/ALVLT</t>
        </is>
      </c>
      <c r="B167" s="18" t="inlineStr">
        <is>
          <t>SPE RESIDENCIAL OURILANDIA LTDA</t>
        </is>
      </c>
      <c r="C167" s="18" t="inlineStr">
        <is>
          <t>33</t>
        </is>
      </c>
      <c r="D167" s="18" t="inlineStr">
        <is>
          <t>JOAO PAULO DOS SANTOS ROSA</t>
        </is>
      </c>
      <c r="E167" s="25" t="inlineStr">
        <is>
          <t>QUADRA 11/LOTE 01</t>
        </is>
      </c>
      <c r="F167" s="43" t="inlineStr">
        <is>
          <t>QUITADO</t>
        </is>
      </c>
      <c r="G167" s="22" t="n">
        <v>0</v>
      </c>
      <c r="H167" s="20" t="n">
        <v>120</v>
      </c>
      <c r="I167" s="20" t="n">
        <v>36</v>
      </c>
      <c r="J167" s="21" t="n">
        <v>6510.46</v>
      </c>
      <c r="K167" s="44" t="n">
        <v>0</v>
      </c>
      <c r="L167" s="22" t="n">
        <v>0</v>
      </c>
      <c r="M167" s="22" t="n">
        <v>0</v>
      </c>
      <c r="N167" s="22" t="n">
        <v>0</v>
      </c>
      <c r="O167" s="22" t="n">
        <v>0</v>
      </c>
      <c r="P167" s="22" t="n">
        <v>0</v>
      </c>
      <c r="Q167" s="21" t="n">
        <v>0</v>
      </c>
      <c r="R167" s="20" t="n">
        <v>0</v>
      </c>
      <c r="S167" s="21" t="n">
        <v>0</v>
      </c>
      <c r="T167" s="22" t="n">
        <v>6510.46</v>
      </c>
      <c r="U167" s="23" t="n">
        <v>1</v>
      </c>
      <c r="V167" s="23" t="n">
        <v>0</v>
      </c>
      <c r="W167" s="23" t="n">
        <v>0</v>
      </c>
      <c r="X167" s="40" t="n"/>
      <c r="Y167" s="18" t="n"/>
      <c r="Z167" s="18" t="inlineStr">
        <is>
          <t>NÃO</t>
        </is>
      </c>
    </row>
    <row r="168">
      <c r="A168" s="18" t="inlineStr">
        <is>
          <t>71/ALVLT</t>
        </is>
      </c>
      <c r="B168" s="18" t="inlineStr">
        <is>
          <t>SPE RESIDENCIAL OURILANDIA LTDA</t>
        </is>
      </c>
      <c r="C168" s="18" t="inlineStr">
        <is>
          <t>34</t>
        </is>
      </c>
      <c r="D168" s="18" t="inlineStr">
        <is>
          <t>DOMINGOS GOMES MOREIRA</t>
        </is>
      </c>
      <c r="E168" s="25" t="inlineStr">
        <is>
          <t>QUADRA 21/LOTE 03</t>
        </is>
      </c>
      <c r="F168" s="43" t="inlineStr">
        <is>
          <t>QUITADO</t>
        </is>
      </c>
      <c r="G168" s="22" t="n">
        <v>0</v>
      </c>
      <c r="H168" s="20" t="n">
        <v>120</v>
      </c>
      <c r="I168" s="20" t="n">
        <v>1</v>
      </c>
      <c r="J168" s="21" t="n">
        <v>250</v>
      </c>
      <c r="K168" s="44" t="n">
        <v>0</v>
      </c>
      <c r="L168" s="22" t="n">
        <v>0</v>
      </c>
      <c r="M168" s="22" t="n">
        <v>0</v>
      </c>
      <c r="N168" s="22" t="n">
        <v>0</v>
      </c>
      <c r="O168" s="22" t="n">
        <v>0</v>
      </c>
      <c r="P168" s="22" t="n">
        <v>0</v>
      </c>
      <c r="Q168" s="21" t="n">
        <v>0</v>
      </c>
      <c r="R168" s="20" t="n">
        <v>0</v>
      </c>
      <c r="S168" s="21" t="n">
        <v>0</v>
      </c>
      <c r="T168" s="22" t="n">
        <v>250</v>
      </c>
      <c r="U168" s="23" t="n">
        <v>1</v>
      </c>
      <c r="V168" s="23" t="n">
        <v>0</v>
      </c>
      <c r="W168" s="23" t="n">
        <v>0</v>
      </c>
      <c r="X168" s="40" t="n"/>
      <c r="Y168" s="18" t="n"/>
      <c r="Z168" s="18" t="inlineStr">
        <is>
          <t>NÃO</t>
        </is>
      </c>
    </row>
    <row r="169">
      <c r="A169" s="18" t="inlineStr">
        <is>
          <t>71/ALVLT</t>
        </is>
      </c>
      <c r="B169" s="18" t="inlineStr">
        <is>
          <t>SPE RESIDENCIAL OURILANDIA LTDA</t>
        </is>
      </c>
      <c r="C169" s="18" t="inlineStr">
        <is>
          <t>36</t>
        </is>
      </c>
      <c r="D169" s="18" t="inlineStr">
        <is>
          <t>WALDENICE SILVA SANTOS</t>
        </is>
      </c>
      <c r="E169" s="25" t="inlineStr">
        <is>
          <t>QUADRA 22/LOTE 02</t>
        </is>
      </c>
      <c r="F169" s="43" t="inlineStr">
        <is>
          <t>QUITADO</t>
        </is>
      </c>
      <c r="G169" s="22" t="n">
        <v>0</v>
      </c>
      <c r="H169" s="20" t="n">
        <v>120</v>
      </c>
      <c r="I169" s="20" t="n">
        <v>120</v>
      </c>
      <c r="J169" s="21" t="n">
        <v>32312.5</v>
      </c>
      <c r="K169" s="44" t="n">
        <v>0</v>
      </c>
      <c r="L169" s="22" t="n">
        <v>0</v>
      </c>
      <c r="M169" s="22" t="n">
        <v>0</v>
      </c>
      <c r="N169" s="22" t="n">
        <v>0</v>
      </c>
      <c r="O169" s="22" t="n">
        <v>0</v>
      </c>
      <c r="P169" s="22" t="n">
        <v>0</v>
      </c>
      <c r="Q169" s="21" t="n">
        <v>0</v>
      </c>
      <c r="R169" s="20" t="n">
        <v>0</v>
      </c>
      <c r="S169" s="21" t="n">
        <v>0</v>
      </c>
      <c r="T169" s="22" t="n">
        <v>32312.5</v>
      </c>
      <c r="U169" s="23" t="n">
        <v>1</v>
      </c>
      <c r="V169" s="23" t="n">
        <v>0</v>
      </c>
      <c r="W169" s="23" t="n">
        <v>0</v>
      </c>
      <c r="X169" s="40" t="n"/>
      <c r="Y169" s="18" t="n"/>
      <c r="Z169" s="18" t="inlineStr">
        <is>
          <t>NÃO</t>
        </is>
      </c>
    </row>
    <row r="170">
      <c r="A170" s="18" t="inlineStr">
        <is>
          <t>71/ALVLT</t>
        </is>
      </c>
      <c r="B170" s="18" t="inlineStr">
        <is>
          <t>SPE RESIDENCIAL OURILANDIA LTDA</t>
        </is>
      </c>
      <c r="C170" s="18" t="inlineStr">
        <is>
          <t>4</t>
        </is>
      </c>
      <c r="D170" s="18" t="inlineStr">
        <is>
          <t>HENRIQUE MARTINS FERREIRA</t>
        </is>
      </c>
      <c r="E170" s="25" t="inlineStr">
        <is>
          <t>QUADRA 28/LOTE 01</t>
        </is>
      </c>
      <c r="F170" s="52" t="inlineStr">
        <is>
          <t>ADIMPLENTE</t>
        </is>
      </c>
      <c r="G170" s="22" t="n">
        <v>311.36</v>
      </c>
      <c r="H170" s="20" t="n">
        <v>86</v>
      </c>
      <c r="I170" s="20" t="n">
        <v>74</v>
      </c>
      <c r="J170" s="21" t="n">
        <v>17219.82</v>
      </c>
      <c r="K170" s="44" t="n">
        <v>0</v>
      </c>
      <c r="L170" s="22" t="n">
        <v>0</v>
      </c>
      <c r="M170" s="22" t="n">
        <v>0</v>
      </c>
      <c r="N170" s="22" t="n">
        <v>0</v>
      </c>
      <c r="O170" s="22" t="n">
        <v>0</v>
      </c>
      <c r="P170" s="22" t="n">
        <v>0</v>
      </c>
      <c r="Q170" s="21" t="n">
        <v>0</v>
      </c>
      <c r="R170" s="20" t="n">
        <v>77</v>
      </c>
      <c r="S170" s="21" t="n">
        <v>23974.72</v>
      </c>
      <c r="T170" s="22" t="n">
        <v>41194.54</v>
      </c>
      <c r="U170" s="23" t="n">
        <v>0.418012</v>
      </c>
      <c r="V170" s="23" t="n">
        <v>0</v>
      </c>
      <c r="W170" s="23" t="n">
        <v>0.5819879999999999</v>
      </c>
      <c r="X170" s="40" t="n">
        <v>5</v>
      </c>
      <c r="Y170" s="18" t="n"/>
      <c r="Z170" s="18" t="inlineStr">
        <is>
          <t>NÃO</t>
        </is>
      </c>
    </row>
    <row r="171">
      <c r="A171" s="18" t="inlineStr">
        <is>
          <t>71/ALVLT</t>
        </is>
      </c>
      <c r="B171" s="18" t="inlineStr">
        <is>
          <t>SPE RESIDENCIAL OURILANDIA LTDA</t>
        </is>
      </c>
      <c r="C171" s="18" t="inlineStr">
        <is>
          <t>46</t>
        </is>
      </c>
      <c r="D171" s="18" t="inlineStr">
        <is>
          <t>CLEBER SOARES DE OLIVEIRA &amp; CIA</t>
        </is>
      </c>
      <c r="E171" s="25" t="inlineStr">
        <is>
          <t>QUADRA 20/LOTE 12</t>
        </is>
      </c>
      <c r="F171" s="43" t="inlineStr">
        <is>
          <t>QUITADO</t>
        </is>
      </c>
      <c r="G171" s="22" t="n">
        <v>50305.9</v>
      </c>
      <c r="H171" s="20" t="n">
        <v>1</v>
      </c>
      <c r="I171" s="20" t="n">
        <v>1</v>
      </c>
      <c r="J171" s="21" t="n">
        <v>50305.9</v>
      </c>
      <c r="K171" s="44" t="n">
        <v>0</v>
      </c>
      <c r="L171" s="22" t="n">
        <v>0</v>
      </c>
      <c r="M171" s="22" t="n">
        <v>0</v>
      </c>
      <c r="N171" s="22" t="n">
        <v>0</v>
      </c>
      <c r="O171" s="22" t="n">
        <v>0</v>
      </c>
      <c r="P171" s="22" t="n">
        <v>0</v>
      </c>
      <c r="Q171" s="21" t="n">
        <v>0</v>
      </c>
      <c r="R171" s="20" t="n">
        <v>0</v>
      </c>
      <c r="S171" s="21" t="n">
        <v>0</v>
      </c>
      <c r="T171" s="22" t="n">
        <v>50305.9</v>
      </c>
      <c r="U171" s="23" t="n">
        <v>1</v>
      </c>
      <c r="V171" s="23" t="n">
        <v>0</v>
      </c>
      <c r="W171" s="23" t="n">
        <v>0</v>
      </c>
      <c r="X171" s="40" t="n"/>
      <c r="Y171" s="18" t="n"/>
      <c r="Z171" s="18" t="inlineStr">
        <is>
          <t>NÃO</t>
        </is>
      </c>
    </row>
    <row r="172">
      <c r="A172" s="18" t="inlineStr">
        <is>
          <t>71/ALVLT</t>
        </is>
      </c>
      <c r="B172" s="18" t="inlineStr">
        <is>
          <t>SPE RESIDENCIAL OURILANDIA LTDA</t>
        </is>
      </c>
      <c r="C172" s="18" t="inlineStr">
        <is>
          <t>47</t>
        </is>
      </c>
      <c r="D172" s="18" t="inlineStr">
        <is>
          <t>LUCIANO SERGIO MARTINS SOARES</t>
        </is>
      </c>
      <c r="E172" s="25" t="inlineStr">
        <is>
          <t>QUADRA 23/LOTE 01</t>
        </is>
      </c>
      <c r="F172" s="43" t="inlineStr">
        <is>
          <t>QUITADO</t>
        </is>
      </c>
      <c r="G172" s="22" t="n">
        <v>0</v>
      </c>
      <c r="H172" s="20" t="n">
        <v>120</v>
      </c>
      <c r="I172" s="20" t="n">
        <v>39</v>
      </c>
      <c r="J172" s="21" t="n">
        <v>13128.08</v>
      </c>
      <c r="K172" s="44" t="n">
        <v>0</v>
      </c>
      <c r="L172" s="22" t="n">
        <v>0</v>
      </c>
      <c r="M172" s="22" t="n">
        <v>0</v>
      </c>
      <c r="N172" s="22" t="n">
        <v>0</v>
      </c>
      <c r="O172" s="22" t="n">
        <v>0</v>
      </c>
      <c r="P172" s="22" t="n">
        <v>0</v>
      </c>
      <c r="Q172" s="21" t="n">
        <v>0</v>
      </c>
      <c r="R172" s="20" t="n">
        <v>0</v>
      </c>
      <c r="S172" s="21" t="n">
        <v>0</v>
      </c>
      <c r="T172" s="22" t="n">
        <v>13128.08</v>
      </c>
      <c r="U172" s="23" t="n">
        <v>1</v>
      </c>
      <c r="V172" s="23" t="n">
        <v>0</v>
      </c>
      <c r="W172" s="23" t="n">
        <v>0</v>
      </c>
      <c r="X172" s="40" t="n"/>
      <c r="Y172" s="18" t="n"/>
      <c r="Z172" s="18" t="inlineStr">
        <is>
          <t>NÃO</t>
        </is>
      </c>
    </row>
    <row r="173">
      <c r="A173" s="18" t="inlineStr">
        <is>
          <t>71/ALVLT</t>
        </is>
      </c>
      <c r="B173" s="18" t="inlineStr">
        <is>
          <t>SPE RESIDENCIAL OURILANDIA LTDA</t>
        </is>
      </c>
      <c r="C173" s="18" t="inlineStr">
        <is>
          <t>49</t>
        </is>
      </c>
      <c r="D173" s="18" t="inlineStr">
        <is>
          <t>MARCIO SOBRINHO DIAS</t>
        </is>
      </c>
      <c r="E173" s="25" t="inlineStr">
        <is>
          <t>QUADRA 18/LOTE 24</t>
        </is>
      </c>
      <c r="F173" s="43" t="inlineStr">
        <is>
          <t>QUITADO</t>
        </is>
      </c>
      <c r="G173" s="22" t="n">
        <v>0</v>
      </c>
      <c r="H173" s="20" t="n">
        <v>120</v>
      </c>
      <c r="I173" s="20" t="n">
        <v>10</v>
      </c>
      <c r="J173" s="21" t="n">
        <v>1335.24</v>
      </c>
      <c r="K173" s="44" t="n">
        <v>0</v>
      </c>
      <c r="L173" s="22" t="n">
        <v>0</v>
      </c>
      <c r="M173" s="22" t="n">
        <v>0</v>
      </c>
      <c r="N173" s="22" t="n">
        <v>0</v>
      </c>
      <c r="O173" s="22" t="n">
        <v>0</v>
      </c>
      <c r="P173" s="22" t="n">
        <v>0</v>
      </c>
      <c r="Q173" s="21" t="n">
        <v>0</v>
      </c>
      <c r="R173" s="20" t="n">
        <v>0</v>
      </c>
      <c r="S173" s="21" t="n">
        <v>0</v>
      </c>
      <c r="T173" s="22" t="n">
        <v>1335.24</v>
      </c>
      <c r="U173" s="23" t="n">
        <v>1</v>
      </c>
      <c r="V173" s="23" t="n">
        <v>0</v>
      </c>
      <c r="W173" s="23" t="n">
        <v>0</v>
      </c>
      <c r="X173" s="40" t="n"/>
      <c r="Y173" s="18" t="n"/>
      <c r="Z173" s="18" t="inlineStr">
        <is>
          <t>NÃO</t>
        </is>
      </c>
    </row>
    <row r="174">
      <c r="A174" s="18" t="inlineStr">
        <is>
          <t>71/ALVLT</t>
        </is>
      </c>
      <c r="B174" s="18" t="inlineStr">
        <is>
          <t>SPE RESIDENCIAL OURILANDIA LTDA</t>
        </is>
      </c>
      <c r="C174" s="18" t="inlineStr">
        <is>
          <t>5</t>
        </is>
      </c>
      <c r="D174" s="18" t="inlineStr">
        <is>
          <t>JOAB VIEIRA BARBOSA</t>
        </is>
      </c>
      <c r="E174" s="25" t="inlineStr">
        <is>
          <t>QUADRA 22/LOTE 01</t>
        </is>
      </c>
      <c r="F174" s="52" t="inlineStr">
        <is>
          <t>ADIMPLENTE</t>
        </is>
      </c>
      <c r="G174" s="22" t="n">
        <v>250</v>
      </c>
      <c r="H174" s="20" t="n">
        <v>120</v>
      </c>
      <c r="I174" s="20" t="n">
        <v>105</v>
      </c>
      <c r="J174" s="21" t="n">
        <v>44302.87</v>
      </c>
      <c r="K174" s="44" t="n">
        <v>0</v>
      </c>
      <c r="L174" s="22" t="n">
        <v>0</v>
      </c>
      <c r="M174" s="22" t="n">
        <v>0</v>
      </c>
      <c r="N174" s="22" t="n">
        <v>0</v>
      </c>
      <c r="O174" s="22" t="n">
        <v>0</v>
      </c>
      <c r="P174" s="22" t="n">
        <v>0</v>
      </c>
      <c r="Q174" s="21" t="n">
        <v>0</v>
      </c>
      <c r="R174" s="20" t="n">
        <v>15</v>
      </c>
      <c r="S174" s="21" t="n">
        <v>10156.65</v>
      </c>
      <c r="T174" s="22" t="n">
        <v>54459.52</v>
      </c>
      <c r="U174" s="23" t="n">
        <v>0.813501</v>
      </c>
      <c r="V174" s="23" t="n">
        <v>0</v>
      </c>
      <c r="W174" s="23" t="n">
        <v>0.186499</v>
      </c>
      <c r="X174" s="40" t="n">
        <v>15</v>
      </c>
      <c r="Y174" s="18" t="n"/>
      <c r="Z174" s="18" t="inlineStr">
        <is>
          <t>NÃO</t>
        </is>
      </c>
    </row>
    <row r="175">
      <c r="A175" s="18" t="inlineStr">
        <is>
          <t>71/ALVLT</t>
        </is>
      </c>
      <c r="B175" s="18" t="inlineStr">
        <is>
          <t>SPE RESIDENCIAL OURILANDIA LTDA</t>
        </is>
      </c>
      <c r="C175" s="18" t="inlineStr">
        <is>
          <t>50</t>
        </is>
      </c>
      <c r="D175" s="18" t="inlineStr">
        <is>
          <t>MARCIO SOBRINHO DIAS</t>
        </is>
      </c>
      <c r="E175" s="25" t="inlineStr">
        <is>
          <t>QUADRA 18/LOTE 25</t>
        </is>
      </c>
      <c r="F175" s="43" t="inlineStr">
        <is>
          <t>QUITADO</t>
        </is>
      </c>
      <c r="G175" s="22" t="n">
        <v>0</v>
      </c>
      <c r="H175" s="20" t="n">
        <v>120</v>
      </c>
      <c r="I175" s="20" t="n">
        <v>10</v>
      </c>
      <c r="J175" s="21" t="n">
        <v>1260.63</v>
      </c>
      <c r="K175" s="44" t="n">
        <v>0</v>
      </c>
      <c r="L175" s="22" t="n">
        <v>0</v>
      </c>
      <c r="M175" s="22" t="n">
        <v>0</v>
      </c>
      <c r="N175" s="22" t="n">
        <v>0</v>
      </c>
      <c r="O175" s="22" t="n">
        <v>0</v>
      </c>
      <c r="P175" s="22" t="n">
        <v>0</v>
      </c>
      <c r="Q175" s="21" t="n">
        <v>0</v>
      </c>
      <c r="R175" s="20" t="n">
        <v>0</v>
      </c>
      <c r="S175" s="21" t="n">
        <v>0</v>
      </c>
      <c r="T175" s="22" t="n">
        <v>1260.63</v>
      </c>
      <c r="U175" s="23" t="n">
        <v>1</v>
      </c>
      <c r="V175" s="23" t="n">
        <v>0</v>
      </c>
      <c r="W175" s="23" t="n">
        <v>0</v>
      </c>
      <c r="X175" s="40" t="n"/>
      <c r="Y175" s="18" t="n"/>
      <c r="Z175" s="18" t="inlineStr">
        <is>
          <t>NÃO</t>
        </is>
      </c>
    </row>
    <row r="176">
      <c r="A176" s="18" t="inlineStr">
        <is>
          <t>71/ALVLT</t>
        </is>
      </c>
      <c r="B176" s="18" t="inlineStr">
        <is>
          <t>SPE RESIDENCIAL OURILANDIA LTDA</t>
        </is>
      </c>
      <c r="C176" s="18" t="inlineStr">
        <is>
          <t>51</t>
        </is>
      </c>
      <c r="D176" s="18" t="inlineStr">
        <is>
          <t>ALBERONE ABADIA SOARES</t>
        </is>
      </c>
      <c r="E176" s="25" t="inlineStr">
        <is>
          <t>QUADRA 40/LOTE 10</t>
        </is>
      </c>
      <c r="F176" s="52" t="inlineStr">
        <is>
          <t>ADIMPLENTE</t>
        </is>
      </c>
      <c r="G176" s="22" t="n">
        <v>233.33</v>
      </c>
      <c r="H176" s="20" t="n">
        <v>120</v>
      </c>
      <c r="I176" s="20" t="n">
        <v>103</v>
      </c>
      <c r="J176" s="21" t="n">
        <v>39707.72</v>
      </c>
      <c r="K176" s="44" t="n">
        <v>0</v>
      </c>
      <c r="L176" s="22" t="n">
        <v>0</v>
      </c>
      <c r="M176" s="22" t="n">
        <v>0</v>
      </c>
      <c r="N176" s="22" t="n">
        <v>0</v>
      </c>
      <c r="O176" s="22" t="n">
        <v>0</v>
      </c>
      <c r="P176" s="22" t="n">
        <v>0</v>
      </c>
      <c r="Q176" s="21" t="n">
        <v>0</v>
      </c>
      <c r="R176" s="20" t="n">
        <v>17</v>
      </c>
      <c r="S176" s="21" t="n">
        <v>10278.54</v>
      </c>
      <c r="T176" s="22" t="n">
        <v>49986.26</v>
      </c>
      <c r="U176" s="23" t="n">
        <v>0.794373</v>
      </c>
      <c r="V176" s="23" t="n">
        <v>0</v>
      </c>
      <c r="W176" s="23" t="n">
        <v>0.205627</v>
      </c>
      <c r="X176" s="40" t="n">
        <v>20</v>
      </c>
      <c r="Y176" s="18" t="n"/>
      <c r="Z176" s="18" t="inlineStr">
        <is>
          <t>NÃO</t>
        </is>
      </c>
    </row>
    <row r="177">
      <c r="A177" s="18" t="inlineStr">
        <is>
          <t>71/ALVLT</t>
        </is>
      </c>
      <c r="B177" s="18" t="inlineStr">
        <is>
          <t>SPE RESIDENCIAL OURILANDIA LTDA</t>
        </is>
      </c>
      <c r="C177" s="18" t="inlineStr">
        <is>
          <t>52</t>
        </is>
      </c>
      <c r="D177" s="18" t="inlineStr">
        <is>
          <t>BERNADINO DE CASTRO SOUSA</t>
        </is>
      </c>
      <c r="E177" s="25" t="inlineStr">
        <is>
          <t>QUADRA 12/LOTE 02</t>
        </is>
      </c>
      <c r="F177" s="52" t="inlineStr">
        <is>
          <t>ADIMPLENTE</t>
        </is>
      </c>
      <c r="G177" s="22" t="n">
        <v>300</v>
      </c>
      <c r="H177" s="20" t="n">
        <v>120</v>
      </c>
      <c r="I177" s="20" t="n">
        <v>94</v>
      </c>
      <c r="J177" s="21" t="n">
        <v>27168.19</v>
      </c>
      <c r="K177" s="44" t="n">
        <v>0</v>
      </c>
      <c r="L177" s="22" t="n">
        <v>0</v>
      </c>
      <c r="M177" s="22" t="n">
        <v>0</v>
      </c>
      <c r="N177" s="22" t="n">
        <v>0</v>
      </c>
      <c r="O177" s="22" t="n">
        <v>0</v>
      </c>
      <c r="P177" s="22" t="n">
        <v>0</v>
      </c>
      <c r="Q177" s="21" t="n">
        <v>0</v>
      </c>
      <c r="R177" s="20" t="n">
        <v>50</v>
      </c>
      <c r="S177" s="21" t="n">
        <v>19443.5</v>
      </c>
      <c r="T177" s="22" t="n">
        <v>46611.69</v>
      </c>
      <c r="U177" s="23" t="n">
        <v>0.582862</v>
      </c>
      <c r="V177" s="23" t="n">
        <v>0</v>
      </c>
      <c r="W177" s="23" t="n">
        <v>0.417138</v>
      </c>
      <c r="X177" s="40" t="n">
        <v>26</v>
      </c>
      <c r="Y177" s="18" t="n"/>
      <c r="Z177" s="18" t="inlineStr">
        <is>
          <t>NÃO</t>
        </is>
      </c>
    </row>
    <row r="178">
      <c r="A178" s="18" t="inlineStr">
        <is>
          <t>71/ALVLT</t>
        </is>
      </c>
      <c r="B178" s="18" t="inlineStr">
        <is>
          <t>SPE RESIDENCIAL OURILANDIA LTDA</t>
        </is>
      </c>
      <c r="C178" s="18" t="inlineStr">
        <is>
          <t>54</t>
        </is>
      </c>
      <c r="D178" s="18" t="inlineStr">
        <is>
          <t>JOAQUIM NUNES SIQUEIRA</t>
        </is>
      </c>
      <c r="E178" s="25" t="inlineStr">
        <is>
          <t>QUADRA 20/LOTE 10</t>
        </is>
      </c>
      <c r="F178" s="43" t="inlineStr">
        <is>
          <t>QUITADO</t>
        </is>
      </c>
      <c r="G178" s="22" t="n">
        <v>0</v>
      </c>
      <c r="H178" s="20" t="n">
        <v>120</v>
      </c>
      <c r="I178" s="20" t="n">
        <v>4</v>
      </c>
      <c r="J178" s="21" t="n">
        <v>1000</v>
      </c>
      <c r="K178" s="44" t="n">
        <v>0</v>
      </c>
      <c r="L178" s="22" t="n">
        <v>0</v>
      </c>
      <c r="M178" s="22" t="n">
        <v>0</v>
      </c>
      <c r="N178" s="22" t="n">
        <v>0</v>
      </c>
      <c r="O178" s="22" t="n">
        <v>0</v>
      </c>
      <c r="P178" s="22" t="n">
        <v>0</v>
      </c>
      <c r="Q178" s="21" t="n">
        <v>0</v>
      </c>
      <c r="R178" s="20" t="n">
        <v>0</v>
      </c>
      <c r="S178" s="21" t="n">
        <v>0</v>
      </c>
      <c r="T178" s="22" t="n">
        <v>1000</v>
      </c>
      <c r="U178" s="23" t="n">
        <v>1</v>
      </c>
      <c r="V178" s="23" t="n">
        <v>0</v>
      </c>
      <c r="W178" s="23" t="n">
        <v>0</v>
      </c>
      <c r="X178" s="40" t="n"/>
      <c r="Y178" s="18" t="n"/>
      <c r="Z178" s="18" t="inlineStr">
        <is>
          <t>NÃO</t>
        </is>
      </c>
    </row>
    <row r="179">
      <c r="A179" s="18" t="inlineStr">
        <is>
          <t>71/ALVLT</t>
        </is>
      </c>
      <c r="B179" s="18" t="inlineStr">
        <is>
          <t>SPE RESIDENCIAL OURILANDIA LTDA</t>
        </is>
      </c>
      <c r="C179" s="18" t="inlineStr">
        <is>
          <t>55</t>
        </is>
      </c>
      <c r="D179" s="18" t="inlineStr">
        <is>
          <t>JAZON SALDANHA DE OLIVEIRA DA SILVA</t>
        </is>
      </c>
      <c r="E179" s="25" t="inlineStr">
        <is>
          <t>QUADRA 17/LOTE 13</t>
        </is>
      </c>
      <c r="F179" s="43" t="inlineStr">
        <is>
          <t>QUITADO</t>
        </is>
      </c>
      <c r="G179" s="22" t="n">
        <v>0</v>
      </c>
      <c r="H179" s="20" t="n">
        <v>120</v>
      </c>
      <c r="I179" s="20" t="n">
        <v>5</v>
      </c>
      <c r="J179" s="21" t="n">
        <v>1041.65</v>
      </c>
      <c r="K179" s="44" t="n">
        <v>0</v>
      </c>
      <c r="L179" s="22" t="n">
        <v>0</v>
      </c>
      <c r="M179" s="22" t="n">
        <v>0</v>
      </c>
      <c r="N179" s="22" t="n">
        <v>0</v>
      </c>
      <c r="O179" s="22" t="n">
        <v>0</v>
      </c>
      <c r="P179" s="22" t="n">
        <v>0</v>
      </c>
      <c r="Q179" s="21" t="n">
        <v>0</v>
      </c>
      <c r="R179" s="20" t="n">
        <v>0</v>
      </c>
      <c r="S179" s="21" t="n">
        <v>0</v>
      </c>
      <c r="T179" s="22" t="n">
        <v>1041.65</v>
      </c>
      <c r="U179" s="23" t="n">
        <v>1</v>
      </c>
      <c r="V179" s="23" t="n">
        <v>0</v>
      </c>
      <c r="W179" s="23" t="n">
        <v>0</v>
      </c>
      <c r="X179" s="40" t="n"/>
      <c r="Y179" s="18" t="n"/>
      <c r="Z179" s="18" t="inlineStr">
        <is>
          <t>NÃO</t>
        </is>
      </c>
    </row>
    <row r="180">
      <c r="A180" s="18" t="inlineStr">
        <is>
          <t>71/ALVLT</t>
        </is>
      </c>
      <c r="B180" s="18" t="inlineStr">
        <is>
          <t>SPE RESIDENCIAL OURILANDIA LTDA</t>
        </is>
      </c>
      <c r="C180" s="18" t="inlineStr">
        <is>
          <t>57</t>
        </is>
      </c>
      <c r="D180" s="18" t="inlineStr">
        <is>
          <t>MARIA LEIDINALVA DAMASCENO MARQUES</t>
        </is>
      </c>
      <c r="E180" s="25" t="inlineStr">
        <is>
          <t>QUADRA 34/LOTE 21</t>
        </is>
      </c>
      <c r="F180" s="43" t="inlineStr">
        <is>
          <t>QUITADO</t>
        </is>
      </c>
      <c r="G180" s="22" t="n">
        <v>0</v>
      </c>
      <c r="H180" s="20" t="n">
        <v>120</v>
      </c>
      <c r="I180" s="20" t="n">
        <v>120</v>
      </c>
      <c r="J180" s="21" t="n">
        <v>55129.21</v>
      </c>
      <c r="K180" s="44" t="n">
        <v>0</v>
      </c>
      <c r="L180" s="22" t="n">
        <v>0</v>
      </c>
      <c r="M180" s="22" t="n">
        <v>0</v>
      </c>
      <c r="N180" s="22" t="n">
        <v>0</v>
      </c>
      <c r="O180" s="22" t="n">
        <v>0</v>
      </c>
      <c r="P180" s="22" t="n">
        <v>0</v>
      </c>
      <c r="Q180" s="21" t="n">
        <v>0</v>
      </c>
      <c r="R180" s="20" t="n">
        <v>0</v>
      </c>
      <c r="S180" s="21" t="n">
        <v>0</v>
      </c>
      <c r="T180" s="22" t="n">
        <v>55129.21</v>
      </c>
      <c r="U180" s="23" t="n">
        <v>1</v>
      </c>
      <c r="V180" s="23" t="n">
        <v>0</v>
      </c>
      <c r="W180" s="23" t="n">
        <v>0</v>
      </c>
      <c r="X180" s="40" t="n"/>
      <c r="Y180" s="18" t="n"/>
      <c r="Z180" s="18" t="inlineStr">
        <is>
          <t>NÃO</t>
        </is>
      </c>
    </row>
    <row r="181">
      <c r="A181" s="18" t="inlineStr">
        <is>
          <t>71/ALVLT</t>
        </is>
      </c>
      <c r="B181" s="18" t="inlineStr">
        <is>
          <t>SPE RESIDENCIAL OURILANDIA LTDA</t>
        </is>
      </c>
      <c r="C181" s="18" t="inlineStr">
        <is>
          <t>58</t>
        </is>
      </c>
      <c r="D181" s="18" t="inlineStr">
        <is>
          <t>LINDALVA DOS SANTOS</t>
        </is>
      </c>
      <c r="E181" s="25" t="inlineStr">
        <is>
          <t>QUADRA 34/LOTE 19</t>
        </is>
      </c>
      <c r="F181" s="43" t="inlineStr">
        <is>
          <t>QUITADO</t>
        </is>
      </c>
      <c r="G181" s="22" t="n">
        <v>0</v>
      </c>
      <c r="H181" s="20" t="n">
        <v>120</v>
      </c>
      <c r="I181" s="20" t="n">
        <v>12</v>
      </c>
      <c r="J181" s="21" t="n">
        <v>3499.92</v>
      </c>
      <c r="K181" s="44" t="n">
        <v>0</v>
      </c>
      <c r="L181" s="22" t="n">
        <v>0</v>
      </c>
      <c r="M181" s="22" t="n">
        <v>0</v>
      </c>
      <c r="N181" s="22" t="n">
        <v>0</v>
      </c>
      <c r="O181" s="22" t="n">
        <v>0</v>
      </c>
      <c r="P181" s="22" t="n">
        <v>0</v>
      </c>
      <c r="Q181" s="21" t="n">
        <v>0</v>
      </c>
      <c r="R181" s="20" t="n">
        <v>0</v>
      </c>
      <c r="S181" s="21" t="n">
        <v>0</v>
      </c>
      <c r="T181" s="22" t="n">
        <v>3499.92</v>
      </c>
      <c r="U181" s="23" t="n">
        <v>1</v>
      </c>
      <c r="V181" s="23" t="n">
        <v>0</v>
      </c>
      <c r="W181" s="23" t="n">
        <v>0</v>
      </c>
      <c r="X181" s="40" t="n"/>
      <c r="Y181" s="18" t="n"/>
      <c r="Z181" s="18" t="inlineStr">
        <is>
          <t>NÃO</t>
        </is>
      </c>
    </row>
    <row r="182">
      <c r="A182" s="18" t="inlineStr">
        <is>
          <t>71/ALVLT</t>
        </is>
      </c>
      <c r="B182" s="18" t="inlineStr">
        <is>
          <t>SPE RESIDENCIAL OURILANDIA LTDA</t>
        </is>
      </c>
      <c r="C182" s="18" t="inlineStr">
        <is>
          <t>59</t>
        </is>
      </c>
      <c r="D182" s="18" t="inlineStr">
        <is>
          <t>ELIOJONSO MOREIRA DE SOUSA</t>
        </is>
      </c>
      <c r="E182" s="25" t="inlineStr">
        <is>
          <t>QUADRA 20/LOTE 08</t>
        </is>
      </c>
      <c r="F182" s="52" t="inlineStr">
        <is>
          <t>ADIMPLENTE</t>
        </is>
      </c>
      <c r="G182" s="22" t="n">
        <v>3000</v>
      </c>
      <c r="H182" s="20" t="n">
        <v>120</v>
      </c>
      <c r="I182" s="20" t="n">
        <v>74</v>
      </c>
      <c r="J182" s="21" t="n">
        <v>38571.78</v>
      </c>
      <c r="K182" s="44" t="n">
        <v>0</v>
      </c>
      <c r="L182" s="22" t="n">
        <v>0</v>
      </c>
      <c r="M182" s="22" t="n">
        <v>0</v>
      </c>
      <c r="N182" s="22" t="n">
        <v>0</v>
      </c>
      <c r="O182" s="22" t="n">
        <v>0</v>
      </c>
      <c r="P182" s="22" t="n">
        <v>0</v>
      </c>
      <c r="Q182" s="21" t="n">
        <v>0</v>
      </c>
      <c r="R182" s="20" t="n">
        <v>2</v>
      </c>
      <c r="S182" s="21" t="n">
        <v>6000</v>
      </c>
      <c r="T182" s="22" t="n">
        <v>44571.78</v>
      </c>
      <c r="U182" s="23" t="n">
        <v>0.865386</v>
      </c>
      <c r="V182" s="23" t="n">
        <v>0</v>
      </c>
      <c r="W182" s="23" t="n">
        <v>0.134614</v>
      </c>
      <c r="X182" s="40" t="n">
        <v>15</v>
      </c>
      <c r="Y182" s="18" t="n"/>
      <c r="Z182" s="18" t="inlineStr">
        <is>
          <t>NÃO</t>
        </is>
      </c>
    </row>
    <row r="183">
      <c r="A183" s="18" t="inlineStr">
        <is>
          <t>71/ALVLT</t>
        </is>
      </c>
      <c r="B183" s="18" t="inlineStr">
        <is>
          <t>SPE RESIDENCIAL OURILANDIA LTDA</t>
        </is>
      </c>
      <c r="C183" s="18" t="inlineStr">
        <is>
          <t>6</t>
        </is>
      </c>
      <c r="D183" s="18" t="inlineStr">
        <is>
          <t>JOSIAS SOARES DE SOUSA</t>
        </is>
      </c>
      <c r="E183" s="25" t="inlineStr">
        <is>
          <t>QUADRA 26/LOTE 03</t>
        </is>
      </c>
      <c r="F183" s="43" t="inlineStr">
        <is>
          <t>QUITADO</t>
        </is>
      </c>
      <c r="G183" s="22" t="n">
        <v>0</v>
      </c>
      <c r="H183" s="20" t="n">
        <v>120</v>
      </c>
      <c r="I183" s="20" t="n">
        <v>5</v>
      </c>
      <c r="J183" s="21" t="n">
        <v>1277.18</v>
      </c>
      <c r="K183" s="44" t="n">
        <v>0</v>
      </c>
      <c r="L183" s="22" t="n">
        <v>0</v>
      </c>
      <c r="M183" s="22" t="n">
        <v>0</v>
      </c>
      <c r="N183" s="22" t="n">
        <v>0</v>
      </c>
      <c r="O183" s="22" t="n">
        <v>0</v>
      </c>
      <c r="P183" s="22" t="n">
        <v>0</v>
      </c>
      <c r="Q183" s="21" t="n">
        <v>0</v>
      </c>
      <c r="R183" s="20" t="n">
        <v>0</v>
      </c>
      <c r="S183" s="21" t="n">
        <v>0</v>
      </c>
      <c r="T183" s="22" t="n">
        <v>1277.18</v>
      </c>
      <c r="U183" s="23" t="n">
        <v>1</v>
      </c>
      <c r="V183" s="23" t="n">
        <v>0</v>
      </c>
      <c r="W183" s="23" t="n">
        <v>0</v>
      </c>
      <c r="X183" s="40" t="n"/>
      <c r="Y183" s="18" t="n"/>
      <c r="Z183" s="18" t="inlineStr">
        <is>
          <t>NÃO</t>
        </is>
      </c>
    </row>
    <row r="184">
      <c r="A184" s="18" t="inlineStr">
        <is>
          <t>71/ALVLT</t>
        </is>
      </c>
      <c r="B184" s="18" t="inlineStr">
        <is>
          <t>SPE RESIDENCIAL OURILANDIA LTDA</t>
        </is>
      </c>
      <c r="C184" s="18" t="inlineStr">
        <is>
          <t>60</t>
        </is>
      </c>
      <c r="D184" s="18" t="inlineStr">
        <is>
          <t>RONAN RODRIGUES DE SOUZA</t>
        </is>
      </c>
      <c r="E184" s="25" t="inlineStr">
        <is>
          <t>QUADRA 22/LOTE 08</t>
        </is>
      </c>
      <c r="F184" s="43" t="inlineStr">
        <is>
          <t>QUITADO</t>
        </is>
      </c>
      <c r="G184" s="22" t="n">
        <v>0</v>
      </c>
      <c r="H184" s="20" t="n">
        <v>120</v>
      </c>
      <c r="I184" s="20" t="n">
        <v>19</v>
      </c>
      <c r="J184" s="21" t="n">
        <v>4302.05</v>
      </c>
      <c r="K184" s="44" t="n">
        <v>0</v>
      </c>
      <c r="L184" s="22" t="n">
        <v>0</v>
      </c>
      <c r="M184" s="22" t="n">
        <v>0</v>
      </c>
      <c r="N184" s="22" t="n">
        <v>0</v>
      </c>
      <c r="O184" s="22" t="n">
        <v>0</v>
      </c>
      <c r="P184" s="22" t="n">
        <v>0</v>
      </c>
      <c r="Q184" s="21" t="n">
        <v>0</v>
      </c>
      <c r="R184" s="20" t="n">
        <v>0</v>
      </c>
      <c r="S184" s="21" t="n">
        <v>0</v>
      </c>
      <c r="T184" s="22" t="n">
        <v>4302.05</v>
      </c>
      <c r="U184" s="23" t="n">
        <v>1</v>
      </c>
      <c r="V184" s="23" t="n">
        <v>0</v>
      </c>
      <c r="W184" s="23" t="n">
        <v>0</v>
      </c>
      <c r="X184" s="40" t="n"/>
      <c r="Y184" s="18" t="n"/>
      <c r="Z184" s="18" t="inlineStr">
        <is>
          <t>NÃO</t>
        </is>
      </c>
    </row>
    <row r="185">
      <c r="A185" s="18" t="inlineStr">
        <is>
          <t>71/ALVLT</t>
        </is>
      </c>
      <c r="B185" s="18" t="inlineStr">
        <is>
          <t>SPE RESIDENCIAL OURILANDIA LTDA</t>
        </is>
      </c>
      <c r="C185" s="18" t="inlineStr">
        <is>
          <t>61</t>
        </is>
      </c>
      <c r="D185" s="18" t="inlineStr">
        <is>
          <t>CONSTRUSERV</t>
        </is>
      </c>
      <c r="E185" s="25" t="inlineStr">
        <is>
          <t>QUADRAPER ODO POR RECEBIMENTO: 01/01/2001 A 31/12/2060 04/09/2017 PARCELA 1/1 30.000,00 30.000,00 30.000,00 0,00 SERVICOS DE TERRAPLENAGEM LTDA 27/LOTE 01</t>
        </is>
      </c>
      <c r="F185" s="43" t="inlineStr">
        <is>
          <t>QUITADO</t>
        </is>
      </c>
      <c r="G185" s="22" t="n">
        <v>30000</v>
      </c>
      <c r="H185" s="20" t="n">
        <v>1</v>
      </c>
      <c r="I185" s="20" t="n">
        <v>1</v>
      </c>
      <c r="J185" s="21" t="n">
        <v>30000</v>
      </c>
      <c r="K185" s="44" t="n">
        <v>0</v>
      </c>
      <c r="L185" s="22" t="n">
        <v>0</v>
      </c>
      <c r="M185" s="22" t="n">
        <v>0</v>
      </c>
      <c r="N185" s="22" t="n">
        <v>0</v>
      </c>
      <c r="O185" s="22" t="n">
        <v>0</v>
      </c>
      <c r="P185" s="22" t="n">
        <v>0</v>
      </c>
      <c r="Q185" s="21" t="n">
        <v>0</v>
      </c>
      <c r="R185" s="20" t="n">
        <v>0</v>
      </c>
      <c r="S185" s="21" t="n">
        <v>0</v>
      </c>
      <c r="T185" s="22" t="n">
        <v>30000</v>
      </c>
      <c r="U185" s="23" t="n">
        <v>1</v>
      </c>
      <c r="V185" s="23" t="n">
        <v>0</v>
      </c>
      <c r="W185" s="23" t="n">
        <v>0</v>
      </c>
      <c r="X185" s="40" t="n"/>
      <c r="Y185" s="18" t="n"/>
      <c r="Z185" s="18" t="inlineStr">
        <is>
          <t>NÃO</t>
        </is>
      </c>
    </row>
    <row r="186">
      <c r="A186" s="18" t="inlineStr">
        <is>
          <t>71/ALVLT</t>
        </is>
      </c>
      <c r="B186" s="18" t="inlineStr">
        <is>
          <t>SPE RESIDENCIAL OURILANDIA LTDA</t>
        </is>
      </c>
      <c r="C186" s="18" t="inlineStr">
        <is>
          <t>62</t>
        </is>
      </c>
      <c r="D186" s="18" t="inlineStr">
        <is>
          <t>JONH KENNIDY NOGUEIRA DA SILVA</t>
        </is>
      </c>
      <c r="E186" s="25" t="inlineStr">
        <is>
          <t>QUADRA 22/LOTE 29</t>
        </is>
      </c>
      <c r="F186" s="43" t="inlineStr">
        <is>
          <t>QUITADO</t>
        </is>
      </c>
      <c r="G186" s="22" t="n">
        <v>0</v>
      </c>
      <c r="H186" s="20" t="n">
        <v>120</v>
      </c>
      <c r="I186" s="20" t="n">
        <v>5</v>
      </c>
      <c r="J186" s="21" t="n">
        <v>1041.65</v>
      </c>
      <c r="K186" s="44" t="n">
        <v>0</v>
      </c>
      <c r="L186" s="22" t="n">
        <v>0</v>
      </c>
      <c r="M186" s="22" t="n">
        <v>0</v>
      </c>
      <c r="N186" s="22" t="n">
        <v>0</v>
      </c>
      <c r="O186" s="22" t="n">
        <v>0</v>
      </c>
      <c r="P186" s="22" t="n">
        <v>0</v>
      </c>
      <c r="Q186" s="21" t="n">
        <v>0</v>
      </c>
      <c r="R186" s="20" t="n">
        <v>0</v>
      </c>
      <c r="S186" s="21" t="n">
        <v>0</v>
      </c>
      <c r="T186" s="22" t="n">
        <v>1041.65</v>
      </c>
      <c r="U186" s="23" t="n">
        <v>1</v>
      </c>
      <c r="V186" s="23" t="n">
        <v>0</v>
      </c>
      <c r="W186" s="23" t="n">
        <v>0</v>
      </c>
      <c r="X186" s="40" t="n"/>
      <c r="Y186" s="18" t="n"/>
      <c r="Z186" s="18" t="inlineStr">
        <is>
          <t>NÃO</t>
        </is>
      </c>
    </row>
    <row r="187">
      <c r="A187" s="18" t="inlineStr">
        <is>
          <t>71/ALVLT</t>
        </is>
      </c>
      <c r="B187" s="18" t="inlineStr">
        <is>
          <t>SPE RESIDENCIAL OURILANDIA LTDA</t>
        </is>
      </c>
      <c r="C187" s="18" t="inlineStr">
        <is>
          <t>63</t>
        </is>
      </c>
      <c r="D187" s="18" t="inlineStr">
        <is>
          <t>CONSTRUSERV SERVICOS DE TERRAPLENAGEM LTDA</t>
        </is>
      </c>
      <c r="E187" s="25" t="inlineStr">
        <is>
          <t>QUADRA 27/LOTE 02</t>
        </is>
      </c>
      <c r="F187" s="43" t="inlineStr">
        <is>
          <t>QUITADO</t>
        </is>
      </c>
      <c r="G187" s="22" t="n">
        <v>30000</v>
      </c>
      <c r="H187" s="20" t="n">
        <v>1</v>
      </c>
      <c r="I187" s="20" t="n">
        <v>1</v>
      </c>
      <c r="J187" s="21" t="n">
        <v>30000</v>
      </c>
      <c r="K187" s="44" t="n">
        <v>0</v>
      </c>
      <c r="L187" s="22" t="n">
        <v>0</v>
      </c>
      <c r="M187" s="22" t="n">
        <v>0</v>
      </c>
      <c r="N187" s="22" t="n">
        <v>0</v>
      </c>
      <c r="O187" s="22" t="n">
        <v>0</v>
      </c>
      <c r="P187" s="22" t="n">
        <v>0</v>
      </c>
      <c r="Q187" s="21" t="n">
        <v>0</v>
      </c>
      <c r="R187" s="20" t="n">
        <v>0</v>
      </c>
      <c r="S187" s="21" t="n">
        <v>0</v>
      </c>
      <c r="T187" s="22" t="n">
        <v>30000</v>
      </c>
      <c r="U187" s="23" t="n">
        <v>1</v>
      </c>
      <c r="V187" s="23" t="n">
        <v>0</v>
      </c>
      <c r="W187" s="23" t="n">
        <v>0</v>
      </c>
      <c r="X187" s="40" t="n"/>
      <c r="Y187" s="18" t="n"/>
      <c r="Z187" s="18" t="inlineStr">
        <is>
          <t>NÃO</t>
        </is>
      </c>
    </row>
    <row r="188">
      <c r="A188" s="18" t="inlineStr">
        <is>
          <t>71/ALVLT</t>
        </is>
      </c>
      <c r="B188" s="18" t="inlineStr">
        <is>
          <t>SPE RESIDENCIAL OURILANDIA LTDA</t>
        </is>
      </c>
      <c r="C188" s="18" t="inlineStr">
        <is>
          <t>64</t>
        </is>
      </c>
      <c r="D188" s="18" t="inlineStr">
        <is>
          <t>CONSTRUSERV SERVICOS DE TERRAPLENAGEM LTDA</t>
        </is>
      </c>
      <c r="E188" s="25" t="inlineStr">
        <is>
          <t>QUADRA 27/LOTE 03</t>
        </is>
      </c>
      <c r="F188" s="43" t="inlineStr">
        <is>
          <t>QUITADO</t>
        </is>
      </c>
      <c r="G188" s="22" t="n">
        <v>30000</v>
      </c>
      <c r="H188" s="20" t="n">
        <v>1</v>
      </c>
      <c r="I188" s="20" t="n">
        <v>1</v>
      </c>
      <c r="J188" s="21" t="n">
        <v>30000</v>
      </c>
      <c r="K188" s="44" t="n">
        <v>0</v>
      </c>
      <c r="L188" s="22" t="n">
        <v>0</v>
      </c>
      <c r="M188" s="22" t="n">
        <v>0</v>
      </c>
      <c r="N188" s="22" t="n">
        <v>0</v>
      </c>
      <c r="O188" s="22" t="n">
        <v>0</v>
      </c>
      <c r="P188" s="22" t="n">
        <v>0</v>
      </c>
      <c r="Q188" s="21" t="n">
        <v>0</v>
      </c>
      <c r="R188" s="20" t="n">
        <v>0</v>
      </c>
      <c r="S188" s="21" t="n">
        <v>0</v>
      </c>
      <c r="T188" s="22" t="n">
        <v>30000</v>
      </c>
      <c r="U188" s="23" t="n">
        <v>1</v>
      </c>
      <c r="V188" s="23" t="n">
        <v>0</v>
      </c>
      <c r="W188" s="23" t="n">
        <v>0</v>
      </c>
      <c r="X188" s="40" t="n"/>
      <c r="Y188" s="18" t="n"/>
      <c r="Z188" s="18" t="inlineStr">
        <is>
          <t>NÃO</t>
        </is>
      </c>
    </row>
    <row r="189">
      <c r="A189" s="18" t="inlineStr">
        <is>
          <t>71/ALVLT</t>
        </is>
      </c>
      <c r="B189" s="18" t="inlineStr">
        <is>
          <t>SPE RESIDENCIAL OURILANDIA LTDA</t>
        </is>
      </c>
      <c r="C189" s="18" t="inlineStr">
        <is>
          <t>65</t>
        </is>
      </c>
      <c r="D189" s="18" t="inlineStr">
        <is>
          <t>CONSTRUSERV SERVICOS DE TERRAPLENAGEM LTDA</t>
        </is>
      </c>
      <c r="E189" s="25" t="inlineStr">
        <is>
          <t>QUADRA 41/LOTE 24</t>
        </is>
      </c>
      <c r="F189" s="43" t="inlineStr">
        <is>
          <t>QUITADO</t>
        </is>
      </c>
      <c r="G189" s="22" t="n">
        <v>30000</v>
      </c>
      <c r="H189" s="20" t="n">
        <v>1</v>
      </c>
      <c r="I189" s="20" t="n">
        <v>1</v>
      </c>
      <c r="J189" s="21" t="n">
        <v>30000</v>
      </c>
      <c r="K189" s="44" t="n">
        <v>0</v>
      </c>
      <c r="L189" s="22" t="n">
        <v>0</v>
      </c>
      <c r="M189" s="22" t="n">
        <v>0</v>
      </c>
      <c r="N189" s="22" t="n">
        <v>0</v>
      </c>
      <c r="O189" s="22" t="n">
        <v>0</v>
      </c>
      <c r="P189" s="22" t="n">
        <v>0</v>
      </c>
      <c r="Q189" s="21" t="n">
        <v>0</v>
      </c>
      <c r="R189" s="20" t="n">
        <v>0</v>
      </c>
      <c r="S189" s="21" t="n">
        <v>0</v>
      </c>
      <c r="T189" s="22" t="n">
        <v>30000</v>
      </c>
      <c r="U189" s="23" t="n">
        <v>1</v>
      </c>
      <c r="V189" s="23" t="n">
        <v>0</v>
      </c>
      <c r="W189" s="23" t="n">
        <v>0</v>
      </c>
      <c r="X189" s="40" t="n"/>
      <c r="Y189" s="18" t="n"/>
      <c r="Z189" s="18" t="inlineStr">
        <is>
          <t>NÃO</t>
        </is>
      </c>
    </row>
    <row r="190">
      <c r="A190" s="18" t="inlineStr">
        <is>
          <t>71/ALVLT</t>
        </is>
      </c>
      <c r="B190" s="18" t="inlineStr">
        <is>
          <t>SPE RESIDENCIAL OURILANDIA LTDA</t>
        </is>
      </c>
      <c r="C190" s="18" t="inlineStr">
        <is>
          <t>66</t>
        </is>
      </c>
      <c r="D190" s="18" t="inlineStr">
        <is>
          <t>CONSTRUSERV SERVICOS DE TERRAPLENAGEM LTDA</t>
        </is>
      </c>
      <c r="E190" s="25" t="inlineStr">
        <is>
          <t>QUADRA 41/LOTE 25</t>
        </is>
      </c>
      <c r="F190" s="43" t="inlineStr">
        <is>
          <t>QUITADO</t>
        </is>
      </c>
      <c r="G190" s="22" t="n">
        <v>30000</v>
      </c>
      <c r="H190" s="20" t="n">
        <v>1</v>
      </c>
      <c r="I190" s="20" t="n">
        <v>1</v>
      </c>
      <c r="J190" s="21" t="n">
        <v>30000</v>
      </c>
      <c r="K190" s="44" t="n">
        <v>0</v>
      </c>
      <c r="L190" s="22" t="n">
        <v>0</v>
      </c>
      <c r="M190" s="22" t="n">
        <v>0</v>
      </c>
      <c r="N190" s="22" t="n">
        <v>0</v>
      </c>
      <c r="O190" s="22" t="n">
        <v>0</v>
      </c>
      <c r="P190" s="22" t="n">
        <v>0</v>
      </c>
      <c r="Q190" s="21" t="n">
        <v>0</v>
      </c>
      <c r="R190" s="20" t="n">
        <v>0</v>
      </c>
      <c r="S190" s="21" t="n">
        <v>0</v>
      </c>
      <c r="T190" s="22" t="n">
        <v>30000</v>
      </c>
      <c r="U190" s="23" t="n">
        <v>1</v>
      </c>
      <c r="V190" s="23" t="n">
        <v>0</v>
      </c>
      <c r="W190" s="23" t="n">
        <v>0</v>
      </c>
      <c r="X190" s="40" t="n"/>
      <c r="Y190" s="18" t="n"/>
      <c r="Z190" s="18" t="inlineStr">
        <is>
          <t>NÃO</t>
        </is>
      </c>
    </row>
    <row r="191">
      <c r="A191" s="18" t="inlineStr">
        <is>
          <t>71/ALVLT</t>
        </is>
      </c>
      <c r="B191" s="18" t="inlineStr">
        <is>
          <t>SPE RESIDENCIAL OURILANDIA LTDA</t>
        </is>
      </c>
      <c r="C191" s="18" t="inlineStr">
        <is>
          <t>67</t>
        </is>
      </c>
      <c r="D191" s="18" t="inlineStr">
        <is>
          <t>CONSTRUSERV SERVICOS DE TERRAPLENAGEM LTDA</t>
        </is>
      </c>
      <c r="E191" s="25" t="inlineStr">
        <is>
          <t>QUADRA 41/LOTE 26</t>
        </is>
      </c>
      <c r="F191" s="43" t="inlineStr">
        <is>
          <t>QUITADO</t>
        </is>
      </c>
      <c r="G191" s="22" t="n">
        <v>30000</v>
      </c>
      <c r="H191" s="20" t="n">
        <v>1</v>
      </c>
      <c r="I191" s="20" t="n">
        <v>1</v>
      </c>
      <c r="J191" s="21" t="n">
        <v>30000</v>
      </c>
      <c r="K191" s="44" t="n">
        <v>0</v>
      </c>
      <c r="L191" s="22" t="n">
        <v>0</v>
      </c>
      <c r="M191" s="22" t="n">
        <v>0</v>
      </c>
      <c r="N191" s="22" t="n">
        <v>0</v>
      </c>
      <c r="O191" s="22" t="n">
        <v>0</v>
      </c>
      <c r="P191" s="22" t="n">
        <v>0</v>
      </c>
      <c r="Q191" s="21" t="n">
        <v>0</v>
      </c>
      <c r="R191" s="20" t="n">
        <v>0</v>
      </c>
      <c r="S191" s="21" t="n">
        <v>0</v>
      </c>
      <c r="T191" s="22" t="n">
        <v>30000</v>
      </c>
      <c r="U191" s="23" t="n">
        <v>1</v>
      </c>
      <c r="V191" s="23" t="n">
        <v>0</v>
      </c>
      <c r="W191" s="23" t="n">
        <v>0</v>
      </c>
      <c r="X191" s="40" t="n"/>
      <c r="Y191" s="18" t="n"/>
      <c r="Z191" s="18" t="inlineStr">
        <is>
          <t>NÃO</t>
        </is>
      </c>
    </row>
    <row r="192">
      <c r="A192" s="18" t="inlineStr">
        <is>
          <t>71/ALVLT</t>
        </is>
      </c>
      <c r="B192" s="18" t="inlineStr">
        <is>
          <t>SPE RESIDENCIAL OURILANDIA LTDA</t>
        </is>
      </c>
      <c r="C192" s="18" t="inlineStr">
        <is>
          <t>68</t>
        </is>
      </c>
      <c r="D192" s="18" t="inlineStr">
        <is>
          <t>CONSTRUSERV SERVICOS DE TERRAPLENAGEM LTDA</t>
        </is>
      </c>
      <c r="E192" s="25" t="inlineStr">
        <is>
          <t>QUADRA 20/LOTE 09</t>
        </is>
      </c>
      <c r="F192" s="43" t="inlineStr">
        <is>
          <t>QUITADO</t>
        </is>
      </c>
      <c r="G192" s="22" t="n">
        <v>30000</v>
      </c>
      <c r="H192" s="20" t="n">
        <v>1</v>
      </c>
      <c r="I192" s="20" t="n">
        <v>1</v>
      </c>
      <c r="J192" s="21" t="n">
        <v>30000</v>
      </c>
      <c r="K192" s="44" t="n">
        <v>0</v>
      </c>
      <c r="L192" s="22" t="n">
        <v>0</v>
      </c>
      <c r="M192" s="22" t="n">
        <v>0</v>
      </c>
      <c r="N192" s="22" t="n">
        <v>0</v>
      </c>
      <c r="O192" s="22" t="n">
        <v>0</v>
      </c>
      <c r="P192" s="22" t="n">
        <v>0</v>
      </c>
      <c r="Q192" s="21" t="n">
        <v>0</v>
      </c>
      <c r="R192" s="20" t="n">
        <v>0</v>
      </c>
      <c r="S192" s="21" t="n">
        <v>0</v>
      </c>
      <c r="T192" s="22" t="n">
        <v>30000</v>
      </c>
      <c r="U192" s="23" t="n">
        <v>1</v>
      </c>
      <c r="V192" s="23" t="n">
        <v>0</v>
      </c>
      <c r="W192" s="23" t="n">
        <v>0</v>
      </c>
      <c r="X192" s="40" t="n"/>
      <c r="Y192" s="18" t="n"/>
      <c r="Z192" s="18" t="inlineStr">
        <is>
          <t>NÃO</t>
        </is>
      </c>
    </row>
    <row r="193">
      <c r="A193" s="18" t="inlineStr">
        <is>
          <t>71/ALVLT</t>
        </is>
      </c>
      <c r="B193" s="18" t="inlineStr">
        <is>
          <t>SPE RESIDENCIAL OURILANDIA LTDA</t>
        </is>
      </c>
      <c r="C193" s="18" t="inlineStr">
        <is>
          <t>69</t>
        </is>
      </c>
      <c r="D193" s="18" t="inlineStr">
        <is>
          <t>ELIANE OLIVEIRA SILVA</t>
        </is>
      </c>
      <c r="E193" s="25" t="inlineStr">
        <is>
          <t>QUADRA 22/LOTE 30</t>
        </is>
      </c>
      <c r="F193" s="43" t="inlineStr">
        <is>
          <t>QUITADO</t>
        </is>
      </c>
      <c r="G193" s="22" t="n">
        <v>0</v>
      </c>
      <c r="H193" s="20" t="n">
        <v>120</v>
      </c>
      <c r="I193" s="20" t="n">
        <v>6</v>
      </c>
      <c r="J193" s="21" t="n">
        <v>1249.98</v>
      </c>
      <c r="K193" s="44" t="n">
        <v>0</v>
      </c>
      <c r="L193" s="22" t="n">
        <v>0</v>
      </c>
      <c r="M193" s="22" t="n">
        <v>0</v>
      </c>
      <c r="N193" s="22" t="n">
        <v>0</v>
      </c>
      <c r="O193" s="22" t="n">
        <v>0</v>
      </c>
      <c r="P193" s="22" t="n">
        <v>0</v>
      </c>
      <c r="Q193" s="21" t="n">
        <v>0</v>
      </c>
      <c r="R193" s="20" t="n">
        <v>0</v>
      </c>
      <c r="S193" s="21" t="n">
        <v>0</v>
      </c>
      <c r="T193" s="22" t="n">
        <v>1249.98</v>
      </c>
      <c r="U193" s="23" t="n">
        <v>1</v>
      </c>
      <c r="V193" s="23" t="n">
        <v>0</v>
      </c>
      <c r="W193" s="23" t="n">
        <v>0</v>
      </c>
      <c r="X193" s="40" t="n"/>
      <c r="Y193" s="18" t="n"/>
      <c r="Z193" s="18" t="inlineStr">
        <is>
          <t>NÃO</t>
        </is>
      </c>
    </row>
    <row r="194">
      <c r="A194" s="18" t="inlineStr">
        <is>
          <t>71/ALVLT</t>
        </is>
      </c>
      <c r="B194" s="18" t="inlineStr">
        <is>
          <t>SPE RESIDENCIAL OURILANDIA LTDA</t>
        </is>
      </c>
      <c r="C194" s="18" t="inlineStr">
        <is>
          <t>7</t>
        </is>
      </c>
      <c r="D194" s="18" t="inlineStr">
        <is>
          <t>MARIA CRISTIANE DE MATOS SILVA</t>
        </is>
      </c>
      <c r="E194" s="25" t="inlineStr">
        <is>
          <t>QUADRA 25/LOTE 02</t>
        </is>
      </c>
      <c r="F194" s="43" t="inlineStr">
        <is>
          <t>QUITADO</t>
        </is>
      </c>
      <c r="G194" s="22" t="n">
        <v>0</v>
      </c>
      <c r="H194" s="20" t="n">
        <v>120</v>
      </c>
      <c r="I194" s="20" t="n">
        <v>14</v>
      </c>
      <c r="J194" s="21" t="n">
        <v>3512.52</v>
      </c>
      <c r="K194" s="44" t="n">
        <v>0</v>
      </c>
      <c r="L194" s="22" t="n">
        <v>0</v>
      </c>
      <c r="M194" s="22" t="n">
        <v>0</v>
      </c>
      <c r="N194" s="22" t="n">
        <v>0</v>
      </c>
      <c r="O194" s="22" t="n">
        <v>0</v>
      </c>
      <c r="P194" s="22" t="n">
        <v>0</v>
      </c>
      <c r="Q194" s="21" t="n">
        <v>0</v>
      </c>
      <c r="R194" s="20" t="n">
        <v>0</v>
      </c>
      <c r="S194" s="21" t="n">
        <v>0</v>
      </c>
      <c r="T194" s="22" t="n">
        <v>3512.52</v>
      </c>
      <c r="U194" s="23" t="n">
        <v>1</v>
      </c>
      <c r="V194" s="23" t="n">
        <v>0</v>
      </c>
      <c r="W194" s="23" t="n">
        <v>0</v>
      </c>
      <c r="X194" s="40" t="n"/>
      <c r="Y194" s="18" t="n"/>
      <c r="Z194" s="18" t="inlineStr">
        <is>
          <t>NÃO</t>
        </is>
      </c>
    </row>
    <row r="195">
      <c r="A195" s="18" t="inlineStr">
        <is>
          <t>71/ALVLT</t>
        </is>
      </c>
      <c r="B195" s="18" t="inlineStr">
        <is>
          <t>SPE RESIDENCIAL OURILANDIA LTDA</t>
        </is>
      </c>
      <c r="C195" s="18" t="inlineStr">
        <is>
          <t>70</t>
        </is>
      </c>
      <c r="D195" s="18" t="inlineStr">
        <is>
          <t>MOACIR DIAS CORDEIRO</t>
        </is>
      </c>
      <c r="E195" s="25" t="inlineStr">
        <is>
          <t>QUADRA 22/LOTE 31</t>
        </is>
      </c>
      <c r="F195" s="43" t="inlineStr">
        <is>
          <t>QUITADO</t>
        </is>
      </c>
      <c r="G195" s="22" t="n">
        <v>0</v>
      </c>
      <c r="H195" s="20" t="n">
        <v>120</v>
      </c>
      <c r="I195" s="20" t="n">
        <v>8</v>
      </c>
      <c r="J195" s="21" t="n">
        <v>1779.16</v>
      </c>
      <c r="K195" s="44" t="n">
        <v>0</v>
      </c>
      <c r="L195" s="22" t="n">
        <v>0</v>
      </c>
      <c r="M195" s="22" t="n">
        <v>0</v>
      </c>
      <c r="N195" s="22" t="n">
        <v>0</v>
      </c>
      <c r="O195" s="22" t="n">
        <v>0</v>
      </c>
      <c r="P195" s="22" t="n">
        <v>0</v>
      </c>
      <c r="Q195" s="21" t="n">
        <v>0</v>
      </c>
      <c r="R195" s="20" t="n">
        <v>0</v>
      </c>
      <c r="S195" s="21" t="n">
        <v>0</v>
      </c>
      <c r="T195" s="22" t="n">
        <v>1779.16</v>
      </c>
      <c r="U195" s="23" t="n">
        <v>1</v>
      </c>
      <c r="V195" s="23" t="n">
        <v>0</v>
      </c>
      <c r="W195" s="23" t="n">
        <v>0</v>
      </c>
      <c r="X195" s="40" t="n"/>
      <c r="Y195" s="18" t="n"/>
      <c r="Z195" s="18" t="inlineStr">
        <is>
          <t>NÃO</t>
        </is>
      </c>
    </row>
    <row r="196">
      <c r="A196" s="18" t="inlineStr">
        <is>
          <t>71/ALVLT</t>
        </is>
      </c>
      <c r="B196" s="18" t="inlineStr">
        <is>
          <t>SPE RESIDENCIAL OURILANDIA LTDA</t>
        </is>
      </c>
      <c r="C196" s="18" t="inlineStr">
        <is>
          <t>72</t>
        </is>
      </c>
      <c r="D196" s="18" t="inlineStr">
        <is>
          <t>JOICE MARIA BORGES SOUZA</t>
        </is>
      </c>
      <c r="E196" s="25" t="inlineStr">
        <is>
          <t>QUADRA 40/LOTE 09</t>
        </is>
      </c>
      <c r="F196" s="43" t="inlineStr">
        <is>
          <t>QUITADO</t>
        </is>
      </c>
      <c r="G196" s="22" t="n">
        <v>0</v>
      </c>
      <c r="H196" s="20" t="n">
        <v>120</v>
      </c>
      <c r="I196" s="20" t="n">
        <v>120</v>
      </c>
      <c r="J196" s="21" t="n">
        <v>24479.95</v>
      </c>
      <c r="K196" s="44" t="n">
        <v>0</v>
      </c>
      <c r="L196" s="22" t="n">
        <v>0</v>
      </c>
      <c r="M196" s="22" t="n">
        <v>0</v>
      </c>
      <c r="N196" s="22" t="n">
        <v>0</v>
      </c>
      <c r="O196" s="22" t="n">
        <v>0</v>
      </c>
      <c r="P196" s="22" t="n">
        <v>0</v>
      </c>
      <c r="Q196" s="21" t="n">
        <v>0</v>
      </c>
      <c r="R196" s="20" t="n">
        <v>0</v>
      </c>
      <c r="S196" s="21" t="n">
        <v>0</v>
      </c>
      <c r="T196" s="22" t="n">
        <v>24479.95</v>
      </c>
      <c r="U196" s="23" t="n">
        <v>1</v>
      </c>
      <c r="V196" s="23" t="n">
        <v>0</v>
      </c>
      <c r="W196" s="23" t="n">
        <v>0</v>
      </c>
      <c r="X196" s="40" t="n"/>
      <c r="Y196" s="18" t="n"/>
      <c r="Z196" s="18" t="inlineStr">
        <is>
          <t>NÃO</t>
        </is>
      </c>
    </row>
    <row r="197">
      <c r="A197" s="18" t="inlineStr">
        <is>
          <t>71/ALVLT</t>
        </is>
      </c>
      <c r="B197" s="18" t="inlineStr">
        <is>
          <t>SPE RESIDENCIAL OURILANDIA LTDA</t>
        </is>
      </c>
      <c r="C197" s="18" t="inlineStr">
        <is>
          <t>73</t>
        </is>
      </c>
      <c r="D197" s="18" t="inlineStr">
        <is>
          <t>LIDIA BATISTA DA SILVA</t>
        </is>
      </c>
      <c r="E197" s="25" t="inlineStr">
        <is>
          <t>QUADRA 22/LOTE 12</t>
        </is>
      </c>
      <c r="F197" s="52" t="inlineStr">
        <is>
          <t>ADIMPLENTE</t>
        </is>
      </c>
      <c r="G197" s="22" t="n">
        <v>122.55</v>
      </c>
      <c r="H197" s="20" t="n">
        <v>204</v>
      </c>
      <c r="I197" s="20" t="n">
        <v>101</v>
      </c>
      <c r="J197" s="21" t="n">
        <v>20668.03</v>
      </c>
      <c r="K197" s="44" t="n">
        <v>0</v>
      </c>
      <c r="L197" s="22" t="n">
        <v>0</v>
      </c>
      <c r="M197" s="22" t="n">
        <v>0</v>
      </c>
      <c r="N197" s="22" t="n">
        <v>0</v>
      </c>
      <c r="O197" s="22" t="n">
        <v>0</v>
      </c>
      <c r="P197" s="22" t="n">
        <v>0</v>
      </c>
      <c r="Q197" s="21" t="n">
        <v>0</v>
      </c>
      <c r="R197" s="20" t="n">
        <v>103</v>
      </c>
      <c r="S197" s="21" t="n">
        <v>35271.32</v>
      </c>
      <c r="T197" s="22" t="n">
        <v>55939.35</v>
      </c>
      <c r="U197" s="23" t="n">
        <v>0.369472</v>
      </c>
      <c r="V197" s="23" t="n">
        <v>0</v>
      </c>
      <c r="W197" s="23" t="n">
        <v>0.630528</v>
      </c>
      <c r="X197" s="40" t="n">
        <v>30</v>
      </c>
      <c r="Y197" s="18" t="n"/>
      <c r="Z197" s="18" t="inlineStr">
        <is>
          <t>NÃO</t>
        </is>
      </c>
    </row>
    <row r="198">
      <c r="A198" s="18" t="inlineStr">
        <is>
          <t>71/ALVLT</t>
        </is>
      </c>
      <c r="B198" s="18" t="inlineStr">
        <is>
          <t>SPE RESIDENCIAL OURILANDIA LTDA</t>
        </is>
      </c>
      <c r="C198" s="18" t="inlineStr">
        <is>
          <t>76</t>
        </is>
      </c>
      <c r="D198" s="18" t="inlineStr">
        <is>
          <t>JOSE RIBAMAR GON ALVES DE OLIVEIRA</t>
        </is>
      </c>
      <c r="E198" s="25" t="inlineStr">
        <is>
          <t>QUADRA 28/LOTE 03</t>
        </is>
      </c>
      <c r="F198" s="43" t="inlineStr">
        <is>
          <t>QUITADO</t>
        </is>
      </c>
      <c r="G198" s="22" t="n">
        <v>0</v>
      </c>
      <c r="H198" s="20" t="n">
        <v>204</v>
      </c>
      <c r="I198" s="20" t="n">
        <v>37</v>
      </c>
      <c r="J198" s="21" t="n">
        <v>4628.1</v>
      </c>
      <c r="K198" s="44" t="n">
        <v>0</v>
      </c>
      <c r="L198" s="22" t="n">
        <v>0</v>
      </c>
      <c r="M198" s="22" t="n">
        <v>0</v>
      </c>
      <c r="N198" s="22" t="n">
        <v>0</v>
      </c>
      <c r="O198" s="22" t="n">
        <v>0</v>
      </c>
      <c r="P198" s="22" t="n">
        <v>0</v>
      </c>
      <c r="Q198" s="21" t="n">
        <v>0</v>
      </c>
      <c r="R198" s="20" t="n">
        <v>0</v>
      </c>
      <c r="S198" s="21" t="n">
        <v>0</v>
      </c>
      <c r="T198" s="22" t="n">
        <v>4628.1</v>
      </c>
      <c r="U198" s="23" t="n">
        <v>1</v>
      </c>
      <c r="V198" s="23" t="n">
        <v>0</v>
      </c>
      <c r="W198" s="23" t="n">
        <v>0</v>
      </c>
      <c r="X198" s="40" t="n"/>
      <c r="Y198" s="18" t="n"/>
      <c r="Z198" s="18" t="inlineStr">
        <is>
          <t>NÃO</t>
        </is>
      </c>
    </row>
    <row r="199">
      <c r="A199" s="18" t="inlineStr">
        <is>
          <t>71/ALVLT</t>
        </is>
      </c>
      <c r="B199" s="18" t="inlineStr">
        <is>
          <t>SPE RESIDENCIAL OURILANDIA LTDA</t>
        </is>
      </c>
      <c r="C199" s="18" t="inlineStr">
        <is>
          <t>77</t>
        </is>
      </c>
      <c r="D199" s="18" t="inlineStr">
        <is>
          <t>DOMINGOS CUSTODIO DA CUNHA</t>
        </is>
      </c>
      <c r="E199" s="25" t="inlineStr">
        <is>
          <t>QUADRA 33/LOTE 11</t>
        </is>
      </c>
      <c r="F199" s="43" t="inlineStr">
        <is>
          <t>QUITADO</t>
        </is>
      </c>
      <c r="G199" s="22" t="n">
        <v>0</v>
      </c>
      <c r="H199" s="20" t="n">
        <v>204</v>
      </c>
      <c r="I199" s="20" t="n">
        <v>9</v>
      </c>
      <c r="J199" s="21" t="n">
        <v>1823.94</v>
      </c>
      <c r="K199" s="44" t="n">
        <v>0</v>
      </c>
      <c r="L199" s="22" t="n">
        <v>0</v>
      </c>
      <c r="M199" s="22" t="n">
        <v>0</v>
      </c>
      <c r="N199" s="22" t="n">
        <v>0</v>
      </c>
      <c r="O199" s="22" t="n">
        <v>0</v>
      </c>
      <c r="P199" s="22" t="n">
        <v>0</v>
      </c>
      <c r="Q199" s="21" t="n">
        <v>0</v>
      </c>
      <c r="R199" s="20" t="n">
        <v>0</v>
      </c>
      <c r="S199" s="21" t="n">
        <v>0</v>
      </c>
      <c r="T199" s="22" t="n">
        <v>1823.94</v>
      </c>
      <c r="U199" s="23" t="n">
        <v>1</v>
      </c>
      <c r="V199" s="23" t="n">
        <v>0</v>
      </c>
      <c r="W199" s="23" t="n">
        <v>0</v>
      </c>
      <c r="X199" s="40" t="n"/>
      <c r="Y199" s="18" t="n"/>
      <c r="Z199" s="18" t="inlineStr">
        <is>
          <t>NÃO</t>
        </is>
      </c>
    </row>
    <row r="200">
      <c r="A200" s="18" t="inlineStr">
        <is>
          <t>71/ALVLT</t>
        </is>
      </c>
      <c r="B200" s="18" t="inlineStr">
        <is>
          <t>SPE RESIDENCIAL OURILANDIA LTDA</t>
        </is>
      </c>
      <c r="C200" s="18" t="inlineStr">
        <is>
          <t>78</t>
        </is>
      </c>
      <c r="D200" s="18" t="inlineStr">
        <is>
          <t>C V L ALVES COMERCIO - ME</t>
        </is>
      </c>
      <c r="E200" s="25" t="inlineStr">
        <is>
          <t>QUADRA 22/LOTE 32</t>
        </is>
      </c>
      <c r="F200" s="43" t="inlineStr">
        <is>
          <t>QUITADO</t>
        </is>
      </c>
      <c r="G200" s="22" t="n">
        <v>0</v>
      </c>
      <c r="H200" s="20" t="n">
        <v>204</v>
      </c>
      <c r="I200" s="20" t="n">
        <v>12</v>
      </c>
      <c r="J200" s="21" t="n">
        <v>1470.6</v>
      </c>
      <c r="K200" s="44" t="n">
        <v>0</v>
      </c>
      <c r="L200" s="22" t="n">
        <v>0</v>
      </c>
      <c r="M200" s="22" t="n">
        <v>0</v>
      </c>
      <c r="N200" s="22" t="n">
        <v>0</v>
      </c>
      <c r="O200" s="22" t="n">
        <v>0</v>
      </c>
      <c r="P200" s="22" t="n">
        <v>0</v>
      </c>
      <c r="Q200" s="21" t="n">
        <v>0</v>
      </c>
      <c r="R200" s="20" t="n">
        <v>0</v>
      </c>
      <c r="S200" s="21" t="n">
        <v>0</v>
      </c>
      <c r="T200" s="22" t="n">
        <v>1470.6</v>
      </c>
      <c r="U200" s="23" t="n">
        <v>1</v>
      </c>
      <c r="V200" s="23" t="n">
        <v>0</v>
      </c>
      <c r="W200" s="23" t="n">
        <v>0</v>
      </c>
      <c r="X200" s="40" t="n"/>
      <c r="Y200" s="18" t="n"/>
      <c r="Z200" s="18" t="inlineStr">
        <is>
          <t>NÃO</t>
        </is>
      </c>
    </row>
    <row r="201">
      <c r="A201" s="18" t="inlineStr">
        <is>
          <t>71/ALVLT</t>
        </is>
      </c>
      <c r="B201" s="18" t="inlineStr">
        <is>
          <t>SPE RESIDENCIAL OURILANDIA LTDA</t>
        </is>
      </c>
      <c r="C201" s="18" t="inlineStr">
        <is>
          <t>79</t>
        </is>
      </c>
      <c r="D201" s="18" t="inlineStr">
        <is>
          <t>FRANCISCO PEREIRA DA SILVA</t>
        </is>
      </c>
      <c r="E201" s="25" t="inlineStr">
        <is>
          <t>QUADRA 22/LOTE 11</t>
        </is>
      </c>
      <c r="F201" s="52" t="inlineStr">
        <is>
          <t>ADIMPLENTE</t>
        </is>
      </c>
      <c r="G201" s="22" t="n">
        <v>122.55</v>
      </c>
      <c r="H201" s="20" t="n">
        <v>204</v>
      </c>
      <c r="I201" s="20" t="n">
        <v>102</v>
      </c>
      <c r="J201" s="21" t="n">
        <v>21178.89</v>
      </c>
      <c r="K201" s="44" t="n">
        <v>0</v>
      </c>
      <c r="L201" s="22" t="n">
        <v>0</v>
      </c>
      <c r="M201" s="22" t="n">
        <v>0</v>
      </c>
      <c r="N201" s="22" t="n">
        <v>0</v>
      </c>
      <c r="O201" s="22" t="n">
        <v>0</v>
      </c>
      <c r="P201" s="22" t="n">
        <v>0</v>
      </c>
      <c r="Q201" s="21" t="n">
        <v>0</v>
      </c>
      <c r="R201" s="20" t="n">
        <v>102</v>
      </c>
      <c r="S201" s="21" t="n">
        <v>35806.08</v>
      </c>
      <c r="T201" s="22" t="n">
        <v>56984.97</v>
      </c>
      <c r="U201" s="23" t="n">
        <v>0.371657</v>
      </c>
      <c r="V201" s="23" t="n">
        <v>0</v>
      </c>
      <c r="W201" s="23" t="n">
        <v>0.628343</v>
      </c>
      <c r="X201" s="40" t="n">
        <v>10</v>
      </c>
      <c r="Y201" s="18" t="n"/>
      <c r="Z201" s="18" t="inlineStr">
        <is>
          <t>NÃO</t>
        </is>
      </c>
    </row>
    <row r="202">
      <c r="A202" s="18" t="inlineStr">
        <is>
          <t>71/ALVLT</t>
        </is>
      </c>
      <c r="B202" s="18" t="inlineStr">
        <is>
          <t>SPE RESIDENCIAL OURILANDIA LTDA</t>
        </is>
      </c>
      <c r="C202" s="18" t="inlineStr">
        <is>
          <t>80</t>
        </is>
      </c>
      <c r="D202" s="18" t="inlineStr">
        <is>
          <t>JOAO LIMA DOS SANTOS</t>
        </is>
      </c>
      <c r="E202" s="25" t="inlineStr">
        <is>
          <t>QUADRA 22/LOTE 14 PER ODO POR RECEBIMENTO: 01/01/2001 A 31/12/2060</t>
        </is>
      </c>
      <c r="F202" s="43" t="inlineStr">
        <is>
          <t>QUITADO</t>
        </is>
      </c>
      <c r="G202" s="22" t="n">
        <v>0</v>
      </c>
      <c r="H202" s="20" t="n">
        <v>204</v>
      </c>
      <c r="I202" s="20" t="n">
        <v>1</v>
      </c>
      <c r="J202" s="21" t="n">
        <v>122.54</v>
      </c>
      <c r="K202" s="44" t="n">
        <v>0</v>
      </c>
      <c r="L202" s="22" t="n">
        <v>0</v>
      </c>
      <c r="M202" s="22" t="n">
        <v>0</v>
      </c>
      <c r="N202" s="22" t="n">
        <v>0</v>
      </c>
      <c r="O202" s="22" t="n">
        <v>0</v>
      </c>
      <c r="P202" s="22" t="n">
        <v>0</v>
      </c>
      <c r="Q202" s="21" t="n">
        <v>0</v>
      </c>
      <c r="R202" s="20" t="n">
        <v>0</v>
      </c>
      <c r="S202" s="21" t="n">
        <v>0</v>
      </c>
      <c r="T202" s="22" t="n">
        <v>122.54</v>
      </c>
      <c r="U202" s="23" t="n">
        <v>1</v>
      </c>
      <c r="V202" s="23" t="n">
        <v>0</v>
      </c>
      <c r="W202" s="23" t="n">
        <v>0</v>
      </c>
      <c r="X202" s="40" t="n"/>
      <c r="Y202" s="18" t="n"/>
      <c r="Z202" s="18" t="inlineStr">
        <is>
          <t>NÃO</t>
        </is>
      </c>
    </row>
    <row r="203">
      <c r="A203" s="18" t="inlineStr">
        <is>
          <t>71/ALVLT</t>
        </is>
      </c>
      <c r="B203" s="18" t="inlineStr">
        <is>
          <t>SPE RESIDENCIAL OURILANDIA LTDA</t>
        </is>
      </c>
      <c r="C203" s="18" t="inlineStr">
        <is>
          <t>81</t>
        </is>
      </c>
      <c r="D203" s="18" t="inlineStr">
        <is>
          <t>JOANIDES RIBEIRO DA SILVA</t>
        </is>
      </c>
      <c r="E203" s="25" t="inlineStr">
        <is>
          <t>QUADRA 22/LOTE 26</t>
        </is>
      </c>
      <c r="F203" s="43" t="inlineStr">
        <is>
          <t>QUITADO</t>
        </is>
      </c>
      <c r="G203" s="22" t="n">
        <v>0</v>
      </c>
      <c r="H203" s="20" t="n">
        <v>204</v>
      </c>
      <c r="I203" s="20" t="n">
        <v>2</v>
      </c>
      <c r="J203" s="21" t="n">
        <v>256.1</v>
      </c>
      <c r="K203" s="44" t="n">
        <v>0</v>
      </c>
      <c r="L203" s="22" t="n">
        <v>0</v>
      </c>
      <c r="M203" s="22" t="n">
        <v>0</v>
      </c>
      <c r="N203" s="22" t="n">
        <v>0</v>
      </c>
      <c r="O203" s="22" t="n">
        <v>0</v>
      </c>
      <c r="P203" s="22" t="n">
        <v>0</v>
      </c>
      <c r="Q203" s="21" t="n">
        <v>0</v>
      </c>
      <c r="R203" s="20" t="n">
        <v>0</v>
      </c>
      <c r="S203" s="21" t="n">
        <v>0</v>
      </c>
      <c r="T203" s="22" t="n">
        <v>256.1</v>
      </c>
      <c r="U203" s="23" t="n">
        <v>1</v>
      </c>
      <c r="V203" s="23" t="n">
        <v>0</v>
      </c>
      <c r="W203" s="23" t="n">
        <v>0</v>
      </c>
      <c r="X203" s="40" t="n"/>
      <c r="Y203" s="18" t="n"/>
      <c r="Z203" s="18" t="inlineStr">
        <is>
          <t>NÃO</t>
        </is>
      </c>
    </row>
    <row r="204">
      <c r="A204" s="18" t="inlineStr">
        <is>
          <t>71/ALVLT</t>
        </is>
      </c>
      <c r="B204" s="18" t="inlineStr">
        <is>
          <t>SPE RESIDENCIAL OURILANDIA LTDA</t>
        </is>
      </c>
      <c r="C204" s="18" t="inlineStr">
        <is>
          <t>82</t>
        </is>
      </c>
      <c r="D204" s="18" t="inlineStr">
        <is>
          <t>ELIONAI DA SILVA RABELO</t>
        </is>
      </c>
      <c r="E204" s="25" t="inlineStr">
        <is>
          <t>QUADRA 22/LOTE 13</t>
        </is>
      </c>
      <c r="F204" s="43" t="inlineStr">
        <is>
          <t>QUITADO</t>
        </is>
      </c>
      <c r="G204" s="22" t="n">
        <v>0</v>
      </c>
      <c r="H204" s="20" t="n">
        <v>204</v>
      </c>
      <c r="I204" s="20" t="n">
        <v>12</v>
      </c>
      <c r="J204" s="21" t="n">
        <v>1470.48</v>
      </c>
      <c r="K204" s="44" t="n">
        <v>0</v>
      </c>
      <c r="L204" s="22" t="n">
        <v>0</v>
      </c>
      <c r="M204" s="22" t="n">
        <v>0</v>
      </c>
      <c r="N204" s="22" t="n">
        <v>0</v>
      </c>
      <c r="O204" s="22" t="n">
        <v>0</v>
      </c>
      <c r="P204" s="22" t="n">
        <v>0</v>
      </c>
      <c r="Q204" s="21" t="n">
        <v>0</v>
      </c>
      <c r="R204" s="20" t="n">
        <v>0</v>
      </c>
      <c r="S204" s="21" t="n">
        <v>0</v>
      </c>
      <c r="T204" s="22" t="n">
        <v>1470.48</v>
      </c>
      <c r="U204" s="23" t="n">
        <v>1</v>
      </c>
      <c r="V204" s="23" t="n">
        <v>0</v>
      </c>
      <c r="W204" s="23" t="n">
        <v>0</v>
      </c>
      <c r="X204" s="40" t="n"/>
      <c r="Y204" s="18" t="n"/>
      <c r="Z204" s="18" t="inlineStr">
        <is>
          <t>NÃO</t>
        </is>
      </c>
    </row>
    <row r="205">
      <c r="A205" s="18" t="inlineStr">
        <is>
          <t>71/ALVLT</t>
        </is>
      </c>
      <c r="B205" s="18" t="inlineStr">
        <is>
          <t>SPE RESIDENCIAL OURILANDIA LTDA</t>
        </is>
      </c>
      <c r="C205" s="18" t="inlineStr">
        <is>
          <t>92</t>
        </is>
      </c>
      <c r="D205" s="18" t="inlineStr">
        <is>
          <t>SOLEMAR XAVIER DOS SANTOS</t>
        </is>
      </c>
      <c r="E205" s="25" t="inlineStr">
        <is>
          <t>QUADRA 34/LOTE 22</t>
        </is>
      </c>
      <c r="F205" s="43" t="inlineStr">
        <is>
          <t>QUITADO</t>
        </is>
      </c>
      <c r="G205" s="22" t="n">
        <v>0</v>
      </c>
      <c r="H205" s="20" t="n">
        <v>204</v>
      </c>
      <c r="I205" s="20" t="n">
        <v>12</v>
      </c>
      <c r="J205" s="21" t="n">
        <v>1826.29</v>
      </c>
      <c r="K205" s="44" t="n">
        <v>0</v>
      </c>
      <c r="L205" s="22" t="n">
        <v>0</v>
      </c>
      <c r="M205" s="22" t="n">
        <v>0</v>
      </c>
      <c r="N205" s="22" t="n">
        <v>0</v>
      </c>
      <c r="O205" s="22" t="n">
        <v>0</v>
      </c>
      <c r="P205" s="22" t="n">
        <v>0</v>
      </c>
      <c r="Q205" s="21" t="n">
        <v>0</v>
      </c>
      <c r="R205" s="20" t="n">
        <v>0</v>
      </c>
      <c r="S205" s="21" t="n">
        <v>0</v>
      </c>
      <c r="T205" s="22" t="n">
        <v>1826.29</v>
      </c>
      <c r="U205" s="23" t="n">
        <v>1</v>
      </c>
      <c r="V205" s="23" t="n">
        <v>0</v>
      </c>
      <c r="W205" s="23" t="n">
        <v>0</v>
      </c>
      <c r="X205" s="40" t="n"/>
      <c r="Y205" s="18" t="n"/>
      <c r="Z205" s="18" t="inlineStr">
        <is>
          <t>NÃO</t>
        </is>
      </c>
    </row>
    <row r="206">
      <c r="A206" s="18" t="inlineStr">
        <is>
          <t>71/ALVLT</t>
        </is>
      </c>
      <c r="B206" s="18" t="inlineStr">
        <is>
          <t>SPE RESIDENCIAL OURILANDIA LTDA</t>
        </is>
      </c>
      <c r="C206" s="18" t="inlineStr">
        <is>
          <t>93</t>
        </is>
      </c>
      <c r="D206" s="18" t="inlineStr">
        <is>
          <t>W C COMERCIO LTDA - ME</t>
        </is>
      </c>
      <c r="E206" s="25" t="inlineStr">
        <is>
          <t>QUADRA 22/LOTE 15</t>
        </is>
      </c>
      <c r="F206" s="52" t="inlineStr">
        <is>
          <t>ADIMPLENTE</t>
        </is>
      </c>
      <c r="G206" s="22" t="n">
        <v>122.54</v>
      </c>
      <c r="H206" s="20" t="n">
        <v>204</v>
      </c>
      <c r="I206" s="20" t="n">
        <v>100</v>
      </c>
      <c r="J206" s="21" t="n">
        <v>19260.46</v>
      </c>
      <c r="K206" s="44" t="n">
        <v>0</v>
      </c>
      <c r="L206" s="22" t="n">
        <v>0</v>
      </c>
      <c r="M206" s="22" t="n">
        <v>0</v>
      </c>
      <c r="N206" s="22" t="n">
        <v>0</v>
      </c>
      <c r="O206" s="22" t="n">
        <v>0</v>
      </c>
      <c r="P206" s="22" t="n">
        <v>0</v>
      </c>
      <c r="Q206" s="21" t="n">
        <v>0</v>
      </c>
      <c r="R206" s="20" t="n">
        <v>104</v>
      </c>
      <c r="S206" s="21" t="n">
        <v>32898.92000000001</v>
      </c>
      <c r="T206" s="22" t="n">
        <v>52159.38</v>
      </c>
      <c r="U206" s="23" t="n">
        <v>0.369262</v>
      </c>
      <c r="V206" s="23" t="n">
        <v>0</v>
      </c>
      <c r="W206" s="23" t="n">
        <v>0.630738</v>
      </c>
      <c r="X206" s="40" t="n">
        <v>10</v>
      </c>
      <c r="Y206" s="18" t="n"/>
      <c r="Z206" s="18" t="inlineStr">
        <is>
          <t>NÃO</t>
        </is>
      </c>
    </row>
    <row r="207">
      <c r="A207" s="18" t="inlineStr">
        <is>
          <t>71/ALVLT</t>
        </is>
      </c>
      <c r="B207" s="18" t="inlineStr">
        <is>
          <t>SPE RESIDENCIAL OURILANDIA LTDA</t>
        </is>
      </c>
      <c r="C207" s="18" t="inlineStr">
        <is>
          <t>94</t>
        </is>
      </c>
      <c r="D207" s="18" t="inlineStr">
        <is>
          <t>W C COMERCIO LTDA - ME</t>
        </is>
      </c>
      <c r="E207" s="25" t="inlineStr">
        <is>
          <t>QUADRA 22/LOTE 16</t>
        </is>
      </c>
      <c r="F207" s="52" t="inlineStr">
        <is>
          <t>ADIMPLENTE</t>
        </is>
      </c>
      <c r="G207" s="22" t="n">
        <v>122.54</v>
      </c>
      <c r="H207" s="20" t="n">
        <v>204</v>
      </c>
      <c r="I207" s="20" t="n">
        <v>100</v>
      </c>
      <c r="J207" s="21" t="n">
        <v>19260.46</v>
      </c>
      <c r="K207" s="44" t="n">
        <v>0</v>
      </c>
      <c r="L207" s="22" t="n">
        <v>0</v>
      </c>
      <c r="M207" s="22" t="n">
        <v>0</v>
      </c>
      <c r="N207" s="22" t="n">
        <v>0</v>
      </c>
      <c r="O207" s="22" t="n">
        <v>0</v>
      </c>
      <c r="P207" s="22" t="n">
        <v>0</v>
      </c>
      <c r="Q207" s="21" t="n">
        <v>0</v>
      </c>
      <c r="R207" s="20" t="n">
        <v>104</v>
      </c>
      <c r="S207" s="21" t="n">
        <v>32898.92000000001</v>
      </c>
      <c r="T207" s="22" t="n">
        <v>52159.38</v>
      </c>
      <c r="U207" s="23" t="n">
        <v>0.369262</v>
      </c>
      <c r="V207" s="23" t="n">
        <v>0</v>
      </c>
      <c r="W207" s="23" t="n">
        <v>0.630738</v>
      </c>
      <c r="X207" s="40" t="n">
        <v>10</v>
      </c>
      <c r="Y207" s="18" t="n"/>
      <c r="Z207" s="18" t="inlineStr">
        <is>
          <t>NÃO</t>
        </is>
      </c>
    </row>
    <row r="208">
      <c r="A208" s="18" t="inlineStr">
        <is>
          <t>71/ALVLT</t>
        </is>
      </c>
      <c r="B208" s="18" t="inlineStr">
        <is>
          <t>SPE RESIDENCIAL OURILANDIA LTDA</t>
        </is>
      </c>
      <c r="C208" s="18" t="inlineStr">
        <is>
          <t>95</t>
        </is>
      </c>
      <c r="D208" s="18" t="inlineStr">
        <is>
          <t>W C COMERCIO LTDA - ME</t>
        </is>
      </c>
      <c r="E208" s="25" t="inlineStr">
        <is>
          <t>QUADRA 22/LOTE 17</t>
        </is>
      </c>
      <c r="F208" s="52" t="inlineStr">
        <is>
          <t>ADIMPLENTE</t>
        </is>
      </c>
      <c r="G208" s="22" t="n">
        <v>122.54</v>
      </c>
      <c r="H208" s="20" t="n">
        <v>204</v>
      </c>
      <c r="I208" s="20" t="n">
        <v>100</v>
      </c>
      <c r="J208" s="21" t="n">
        <v>19260.46</v>
      </c>
      <c r="K208" s="44" t="n">
        <v>0</v>
      </c>
      <c r="L208" s="22" t="n">
        <v>0</v>
      </c>
      <c r="M208" s="22" t="n">
        <v>0</v>
      </c>
      <c r="N208" s="22" t="n">
        <v>0</v>
      </c>
      <c r="O208" s="22" t="n">
        <v>0</v>
      </c>
      <c r="P208" s="22" t="n">
        <v>0</v>
      </c>
      <c r="Q208" s="21" t="n">
        <v>0</v>
      </c>
      <c r="R208" s="20" t="n">
        <v>104</v>
      </c>
      <c r="S208" s="21" t="n">
        <v>32898.92000000001</v>
      </c>
      <c r="T208" s="22" t="n">
        <v>52159.38</v>
      </c>
      <c r="U208" s="23" t="n">
        <v>0.369262</v>
      </c>
      <c r="V208" s="23" t="n">
        <v>0</v>
      </c>
      <c r="W208" s="23" t="n">
        <v>0.630738</v>
      </c>
      <c r="X208" s="40" t="n">
        <v>10</v>
      </c>
      <c r="Y208" s="18" t="n"/>
      <c r="Z208" s="18" t="inlineStr">
        <is>
          <t>NÃO</t>
        </is>
      </c>
    </row>
    <row r="209">
      <c r="A209" s="18" t="inlineStr">
        <is>
          <t>71/ALVLT</t>
        </is>
      </c>
      <c r="B209" s="18" t="inlineStr">
        <is>
          <t>SPE RESIDENCIAL OURILANDIA LTDA</t>
        </is>
      </c>
      <c r="C209" s="18" t="inlineStr">
        <is>
          <t>96</t>
        </is>
      </c>
      <c r="D209" s="18" t="inlineStr">
        <is>
          <t>W C COMERCIO LTDA - ME</t>
        </is>
      </c>
      <c r="E209" s="25" t="inlineStr">
        <is>
          <t>QUADRA 22/LOTE 22</t>
        </is>
      </c>
      <c r="F209" s="52" t="inlineStr">
        <is>
          <t>ADIMPLENTE</t>
        </is>
      </c>
      <c r="G209" s="22" t="n">
        <v>122.54</v>
      </c>
      <c r="H209" s="20" t="n">
        <v>204</v>
      </c>
      <c r="I209" s="20" t="n">
        <v>100</v>
      </c>
      <c r="J209" s="21" t="n">
        <v>19260.46</v>
      </c>
      <c r="K209" s="44" t="n">
        <v>0</v>
      </c>
      <c r="L209" s="22" t="n">
        <v>0</v>
      </c>
      <c r="M209" s="22" t="n">
        <v>0</v>
      </c>
      <c r="N209" s="22" t="n">
        <v>0</v>
      </c>
      <c r="O209" s="22" t="n">
        <v>0</v>
      </c>
      <c r="P209" s="22" t="n">
        <v>0</v>
      </c>
      <c r="Q209" s="21" t="n">
        <v>0</v>
      </c>
      <c r="R209" s="20" t="n">
        <v>104</v>
      </c>
      <c r="S209" s="21" t="n">
        <v>32898.92000000001</v>
      </c>
      <c r="T209" s="22" t="n">
        <v>52159.38</v>
      </c>
      <c r="U209" s="23" t="n">
        <v>0.369262</v>
      </c>
      <c r="V209" s="23" t="n">
        <v>0</v>
      </c>
      <c r="W209" s="23" t="n">
        <v>0.630738</v>
      </c>
      <c r="X209" s="40" t="n">
        <v>10</v>
      </c>
      <c r="Y209" s="18" t="n"/>
      <c r="Z209" s="18" t="inlineStr">
        <is>
          <t>NÃO</t>
        </is>
      </c>
    </row>
    <row r="210">
      <c r="A210" s="18" t="inlineStr">
        <is>
          <t>71/ALVLT</t>
        </is>
      </c>
      <c r="B210" s="18" t="inlineStr">
        <is>
          <t>SPE RESIDENCIAL OURILANDIA LTDA</t>
        </is>
      </c>
      <c r="C210" s="18" t="inlineStr">
        <is>
          <t>97</t>
        </is>
      </c>
      <c r="D210" s="18" t="inlineStr">
        <is>
          <t>W C COMERCIO LTDA - ME</t>
        </is>
      </c>
      <c r="E210" s="25" t="inlineStr">
        <is>
          <t>QUADRA 22/LOTE 23</t>
        </is>
      </c>
      <c r="F210" s="52" t="inlineStr">
        <is>
          <t>ADIMPLENTE</t>
        </is>
      </c>
      <c r="G210" s="22" t="n">
        <v>122.54</v>
      </c>
      <c r="H210" s="20" t="n">
        <v>204</v>
      </c>
      <c r="I210" s="20" t="n">
        <v>100</v>
      </c>
      <c r="J210" s="21" t="n">
        <v>19247.81</v>
      </c>
      <c r="K210" s="44" t="n">
        <v>0</v>
      </c>
      <c r="L210" s="22" t="n">
        <v>0</v>
      </c>
      <c r="M210" s="22" t="n">
        <v>0</v>
      </c>
      <c r="N210" s="22" t="n">
        <v>0</v>
      </c>
      <c r="O210" s="22" t="n">
        <v>0</v>
      </c>
      <c r="P210" s="22" t="n">
        <v>0</v>
      </c>
      <c r="Q210" s="21" t="n">
        <v>0</v>
      </c>
      <c r="R210" s="20" t="n">
        <v>104</v>
      </c>
      <c r="S210" s="21" t="n">
        <v>32898.92000000001</v>
      </c>
      <c r="T210" s="22" t="n">
        <v>52146.73</v>
      </c>
      <c r="U210" s="23" t="n">
        <v>0.369109</v>
      </c>
      <c r="V210" s="23" t="n">
        <v>0</v>
      </c>
      <c r="W210" s="23" t="n">
        <v>0.630891</v>
      </c>
      <c r="X210" s="40" t="n">
        <v>10</v>
      </c>
      <c r="Y210" s="18" t="n"/>
      <c r="Z210" s="18" t="inlineStr">
        <is>
          <t>NÃO</t>
        </is>
      </c>
    </row>
    <row r="211">
      <c r="A211" s="18" t="inlineStr">
        <is>
          <t>71/ALVLT</t>
        </is>
      </c>
      <c r="B211" s="18" t="inlineStr">
        <is>
          <t>SPE RESIDENCIAL OURILANDIA LTDA</t>
        </is>
      </c>
      <c r="C211" s="18" t="inlineStr">
        <is>
          <t>98</t>
        </is>
      </c>
      <c r="D211" s="18" t="inlineStr">
        <is>
          <t>W C COMERCIO LTDA - ME</t>
        </is>
      </c>
      <c r="E211" s="25" t="inlineStr">
        <is>
          <t>QUADRA 22/LOTE 24</t>
        </is>
      </c>
      <c r="F211" s="52" t="inlineStr">
        <is>
          <t>ADIMPLENTE</t>
        </is>
      </c>
      <c r="G211" s="22" t="n">
        <v>122.54</v>
      </c>
      <c r="H211" s="20" t="n">
        <v>204</v>
      </c>
      <c r="I211" s="20" t="n">
        <v>100</v>
      </c>
      <c r="J211" s="21" t="n">
        <v>20375.77</v>
      </c>
      <c r="K211" s="44" t="n">
        <v>0</v>
      </c>
      <c r="L211" s="22" t="n">
        <v>0</v>
      </c>
      <c r="M211" s="22" t="n">
        <v>0</v>
      </c>
      <c r="N211" s="22" t="n">
        <v>0</v>
      </c>
      <c r="O211" s="22" t="n">
        <v>0</v>
      </c>
      <c r="P211" s="22" t="n">
        <v>0</v>
      </c>
      <c r="Q211" s="21" t="n">
        <v>0</v>
      </c>
      <c r="R211" s="20" t="n">
        <v>104</v>
      </c>
      <c r="S211" s="21" t="n">
        <v>32898.92000000001</v>
      </c>
      <c r="T211" s="22" t="n">
        <v>53274.69</v>
      </c>
      <c r="U211" s="23" t="n">
        <v>0.382466</v>
      </c>
      <c r="V211" s="23" t="n">
        <v>0</v>
      </c>
      <c r="W211" s="23" t="n">
        <v>0.617534</v>
      </c>
      <c r="X211" s="40" t="n">
        <v>10</v>
      </c>
      <c r="Y211" s="18" t="n"/>
      <c r="Z211" s="18" t="inlineStr">
        <is>
          <t>NÃO</t>
        </is>
      </c>
    </row>
    <row r="212">
      <c r="A212" s="18" t="inlineStr">
        <is>
          <t>71/ALVLT</t>
        </is>
      </c>
      <c r="B212" s="18" t="inlineStr">
        <is>
          <t>SPE RESIDENCIAL OURILANDIA LTDA</t>
        </is>
      </c>
      <c r="C212" s="18" t="inlineStr">
        <is>
          <t>99</t>
        </is>
      </c>
      <c r="D212" s="18" t="inlineStr">
        <is>
          <t>ANTONIO JOS DE LIMA</t>
        </is>
      </c>
      <c r="E212" s="25" t="inlineStr">
        <is>
          <t>QUADRA 34/LOTE 23</t>
        </is>
      </c>
      <c r="F212" s="43" t="inlineStr">
        <is>
          <t>QUITADO</t>
        </is>
      </c>
      <c r="G212" s="22" t="n">
        <v>0</v>
      </c>
      <c r="H212" s="20" t="n">
        <v>204</v>
      </c>
      <c r="I212" s="20" t="n">
        <v>16</v>
      </c>
      <c r="J212" s="21" t="n">
        <v>2461.08</v>
      </c>
      <c r="K212" s="44" t="n">
        <v>0</v>
      </c>
      <c r="L212" s="22" t="n">
        <v>0</v>
      </c>
      <c r="M212" s="22" t="n">
        <v>0</v>
      </c>
      <c r="N212" s="22" t="n">
        <v>0</v>
      </c>
      <c r="O212" s="22" t="n">
        <v>0</v>
      </c>
      <c r="P212" s="22" t="n">
        <v>0</v>
      </c>
      <c r="Q212" s="21" t="n">
        <v>0</v>
      </c>
      <c r="R212" s="20" t="n">
        <v>0</v>
      </c>
      <c r="S212" s="21" t="n">
        <v>0</v>
      </c>
      <c r="T212" s="22" t="n">
        <v>2461.08</v>
      </c>
      <c r="U212" s="23" t="n">
        <v>1</v>
      </c>
      <c r="V212" s="23" t="n">
        <v>0</v>
      </c>
      <c r="W212" s="23" t="n">
        <v>0</v>
      </c>
      <c r="X212" s="40" t="n"/>
      <c r="Y212" s="18" t="n"/>
      <c r="Z212" s="18" t="inlineStr">
        <is>
          <t>NÃO</t>
        </is>
      </c>
    </row>
  </sheetData>
  <autoFilter ref="A8:Z212"/>
  <mergeCells count="5">
    <mergeCell ref="F7:J7"/>
    <mergeCell ref="T7:X7"/>
    <mergeCell ref="R7:S7"/>
    <mergeCell ref="A7:E7"/>
    <mergeCell ref="K7:Q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2026-04-08T17:58:50Z</dcterms:created>
  <dcterms:modified xsi:type="dcterms:W3CDTF">2026-04-08T18:02:48Z</dcterms:modified>
</cp:coreProperties>
</file>